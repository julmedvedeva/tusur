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e.gladysheva\Documents\tusur\informatics\лр2\"/>
    </mc:Choice>
  </mc:AlternateContent>
  <xr:revisionPtr revIDLastSave="0" documentId="13_ncr:1_{86782AFD-8879-485A-9B54-47EBE21908AB}" xr6:coauthVersionLast="47" xr6:coauthVersionMax="47" xr10:uidLastSave="{00000000-0000-0000-0000-000000000000}"/>
  <bookViews>
    <workbookView xWindow="-108" yWindow="-108" windowWidth="23256" windowHeight="13896" firstSheet="2" activeTab="4" xr2:uid="{E5AFD74C-7134-554A-BE5D-711FEE40F10E}"/>
  </bookViews>
  <sheets>
    <sheet name="Титульный" sheetId="1" r:id="rId1"/>
    <sheet name="4.1 Штатное расписание" sheetId="2" r:id="rId2"/>
    <sheet name="4.2 Шаблоны таблицы и диаграммы" sheetId="10" r:id="rId3"/>
    <sheet name="5.1 Исключить лишнее вх данное" sheetId="4" r:id="rId4"/>
    <sheet name="5.2 Процедуры и функции В10" sheetId="5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G8" i="2"/>
  <c r="E10" i="2"/>
  <c r="E3" i="2"/>
  <c r="D9" i="2"/>
  <c r="F9" i="2" s="1"/>
  <c r="G9" i="2" s="1"/>
  <c r="D6" i="2"/>
  <c r="D5" i="2" s="1"/>
  <c r="D7" i="2"/>
  <c r="F7" i="2" s="1"/>
  <c r="G7" i="2" s="1"/>
  <c r="D10" i="2" l="1"/>
  <c r="F10" i="2" s="1"/>
  <c r="G10" i="2" s="1"/>
  <c r="F6" i="2"/>
  <c r="G6" i="2" s="1"/>
  <c r="F5" i="2" l="1"/>
  <c r="G5" i="2" s="1"/>
  <c r="F3" i="2" l="1"/>
  <c r="G3" i="2" s="1"/>
  <c r="D3" i="2"/>
  <c r="F4" i="2"/>
  <c r="G4" i="2" s="1"/>
  <c r="H2" i="2" l="1"/>
</calcChain>
</file>

<file path=xl/sharedStrings.xml><?xml version="1.0" encoding="utf-8"?>
<sst xmlns="http://schemas.openxmlformats.org/spreadsheetml/2006/main" count="48" uniqueCount="43">
  <si>
    <t>Должность</t>
  </si>
  <si>
    <t>Должностой коэффициент оклада</t>
  </si>
  <si>
    <t>заведующий</t>
  </si>
  <si>
    <t>главный врач</t>
  </si>
  <si>
    <t>заведующий отделением</t>
  </si>
  <si>
    <t>врач</t>
  </si>
  <si>
    <t>медсестра</t>
  </si>
  <si>
    <t>санитарка</t>
  </si>
  <si>
    <t>заведующий аптекой</t>
  </si>
  <si>
    <t>заведующий хозяйством</t>
  </si>
  <si>
    <t>Оклад 1 сотрудника</t>
  </si>
  <si>
    <t>Вектор С</t>
  </si>
  <si>
    <t xml:space="preserve">n = </t>
  </si>
  <si>
    <t>10.а</t>
  </si>
  <si>
    <t>10.б</t>
  </si>
  <si>
    <t>Вектор А</t>
  </si>
  <si>
    <t xml:space="preserve">m = </t>
  </si>
  <si>
    <t>Матрица С</t>
  </si>
  <si>
    <t>s =</t>
  </si>
  <si>
    <t>Количество сотрудников, человек</t>
  </si>
  <si>
    <t>Надбавка, $</t>
  </si>
  <si>
    <t>Общий оклад, $</t>
  </si>
  <si>
    <t>Итого, $</t>
  </si>
  <si>
    <t>Статьи дохода</t>
  </si>
  <si>
    <t>Налоговые доходы</t>
  </si>
  <si>
    <t>Налоги на прибыль (доход), прирост капитала</t>
  </si>
  <si>
    <t>Налоги на товары и услуги, лицензионные сборы</t>
  </si>
  <si>
    <t>Налоги на совокупный доход</t>
  </si>
  <si>
    <t>Налоги на имущество</t>
  </si>
  <si>
    <t>Платежи за пользование природными ресурсами</t>
  </si>
  <si>
    <t>Прочие налоги, пошлины и сборы</t>
  </si>
  <si>
    <t>Неналоговые доходы</t>
  </si>
  <si>
    <t>Доходы от имущества, находящегося в госсобственности</t>
  </si>
  <si>
    <t>Административные платежи и сборы</t>
  </si>
  <si>
    <t>Штрафные санкции</t>
  </si>
  <si>
    <t>Итого доходов</t>
  </si>
  <si>
    <t>Доход в 2012 г. (отчет)</t>
  </si>
  <si>
    <t>Сумма, тыс. руб</t>
  </si>
  <si>
    <t>Удельный вес, %</t>
  </si>
  <si>
    <t>Доход в 2013 г. (план)</t>
  </si>
  <si>
    <t>Превышение доходов</t>
  </si>
  <si>
    <t>‚ % к 2012 г.</t>
  </si>
  <si>
    <t>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</si>
</sst>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charset val="204"/>
      <scheme val="minor"/>
    </font>
    <font>
      <sz val="11"/>
      <color theme="1"/>
      <name val="Andale Mono"/>
      <family val="2"/>
    </font>
    <font>
      <b/>
      <sz val="12"/>
      <color theme="1"/>
      <name val="Calibri"/>
      <family val="2"/>
      <scheme val="minor"/>
    </font>
    <font>
      <sz val="12"/>
      <color rgb="FFBF8F00"/>
      <name val="Calibri"/>
      <family val="2"/>
      <charset val="204"/>
    </font>
    <font>
      <sz val="12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E17F0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/>
    <xf numFmtId="0" fontId="1" fillId="0" borderId="0" xfId="0" applyFont="1" applyAlignment="1">
      <alignment wrapText="1"/>
    </xf>
    <xf numFmtId="2" fontId="1" fillId="0" borderId="0" xfId="0" applyNumberFormat="1" applyFont="1"/>
    <xf numFmtId="1" fontId="1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0" fillId="3" borderId="0" xfId="0" applyFill="1" applyProtection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0" fillId="0" borderId="0" xfId="0" applyBorder="1"/>
    <xf numFmtId="0" fontId="0" fillId="0" borderId="0" xfId="0" applyFill="1" applyBorder="1"/>
    <xf numFmtId="0" fontId="5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A-4E99-91E0-00E6BE18DF2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3A-4E99-91E0-00E6BE18DF2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A-4E99-91E0-00E6BE18D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8783"/>
        <c:axId val="614078767"/>
      </c:lineChart>
      <c:catAx>
        <c:axId val="614068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8767"/>
        <c:crosses val="autoZero"/>
        <c:auto val="1"/>
        <c:lblAlgn val="ctr"/>
        <c:lblOffset val="100"/>
        <c:noMultiLvlLbl val="0"/>
      </c:catAx>
      <c:valAx>
        <c:axId val="6140787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87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3-43BB-9DF0-15C5AEEB20C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43-43BB-9DF0-15C5AEEB20C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43-43BB-9DF0-15C5AEEB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75855"/>
        <c:axId val="614079183"/>
      </c:lineChart>
      <c:catAx>
        <c:axId val="614075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9183"/>
        <c:crosses val="autoZero"/>
        <c:auto val="1"/>
        <c:lblAlgn val="ctr"/>
        <c:lblOffset val="100"/>
        <c:noMultiLvlLbl val="0"/>
      </c:catAx>
      <c:valAx>
        <c:axId val="6140791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58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D-423F-B69A-90558CC6406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D-423F-B69A-90558CC6406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0D-423F-B69A-90558CC64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1663"/>
        <c:axId val="614067951"/>
      </c:lineChart>
      <c:catAx>
        <c:axId val="614091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7951"/>
        <c:crosses val="autoZero"/>
        <c:auto val="1"/>
        <c:lblAlgn val="ctr"/>
        <c:lblOffset val="100"/>
        <c:noMultiLvlLbl val="0"/>
      </c:catAx>
      <c:valAx>
        <c:axId val="614067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16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A-4127-B702-F2AA4E7444E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A-4127-B702-F2AA4E7444E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A-4127-B702-F2AA4E74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9199"/>
        <c:axId val="614086255"/>
      </c:lineChart>
      <c:catAx>
        <c:axId val="614069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6255"/>
        <c:crosses val="autoZero"/>
        <c:auto val="1"/>
        <c:lblAlgn val="ctr"/>
        <c:lblOffset val="100"/>
        <c:noMultiLvlLbl val="0"/>
      </c:catAx>
      <c:valAx>
        <c:axId val="614086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91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C5-4452-A83B-7101E323D6F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C5-4452-A83B-7101E323D6F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C5-4452-A83B-7101E323D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2095"/>
        <c:axId val="614070447"/>
      </c:lineChart>
      <c:catAx>
        <c:axId val="614082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0447"/>
        <c:crosses val="autoZero"/>
        <c:auto val="1"/>
        <c:lblAlgn val="ctr"/>
        <c:lblOffset val="100"/>
        <c:noMultiLvlLbl val="0"/>
      </c:catAx>
      <c:valAx>
        <c:axId val="6140704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20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A3-468E-AC6E-0C62787DBAF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A3-468E-AC6E-0C62787DBAF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A3-468E-AC6E-0C62787DB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73359"/>
        <c:axId val="614087503"/>
      </c:lineChart>
      <c:catAx>
        <c:axId val="614073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7503"/>
        <c:crosses val="autoZero"/>
        <c:auto val="1"/>
        <c:lblAlgn val="ctr"/>
        <c:lblOffset val="100"/>
        <c:noMultiLvlLbl val="0"/>
      </c:catAx>
      <c:valAx>
        <c:axId val="6140875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33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5-4FEA-A558-58D4359153F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45-4FEA-A558-58D4359153F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45-4FEA-A558-58D43591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9999"/>
        <c:axId val="614090831"/>
      </c:lineChart>
      <c:catAx>
        <c:axId val="614089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0831"/>
        <c:crosses val="autoZero"/>
        <c:auto val="1"/>
        <c:lblAlgn val="ctr"/>
        <c:lblOffset val="100"/>
        <c:noMultiLvlLbl val="0"/>
      </c:catAx>
      <c:valAx>
        <c:axId val="614090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99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9-495F-8F3B-590583FB38F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9-495F-8F3B-590583FB38F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95F-8F3B-590583FB3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9615"/>
        <c:axId val="614070031"/>
      </c:lineChart>
      <c:catAx>
        <c:axId val="614069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0031"/>
        <c:crosses val="autoZero"/>
        <c:auto val="1"/>
        <c:lblAlgn val="ctr"/>
        <c:lblOffset val="100"/>
        <c:noMultiLvlLbl val="0"/>
      </c:catAx>
      <c:valAx>
        <c:axId val="6140700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9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2-4F8D-B5D9-193FCD6620C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2-4F8D-B5D9-193FCD6620C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02-4F8D-B5D9-193FCD662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2511"/>
        <c:axId val="614071279"/>
      </c:lineChart>
      <c:catAx>
        <c:axId val="614082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1279"/>
        <c:crosses val="autoZero"/>
        <c:auto val="1"/>
        <c:lblAlgn val="ctr"/>
        <c:lblOffset val="100"/>
        <c:noMultiLvlLbl val="0"/>
      </c:catAx>
      <c:valAx>
        <c:axId val="614071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25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0-407C-A34D-5F4FEFAE123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0-407C-A34D-5F4FEFAE123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0-407C-A34D-5F4FEFAE1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74607"/>
        <c:axId val="614083759"/>
      </c:lineChart>
      <c:catAx>
        <c:axId val="614074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3759"/>
        <c:crosses val="autoZero"/>
        <c:auto val="1"/>
        <c:lblAlgn val="ctr"/>
        <c:lblOffset val="100"/>
        <c:noMultiLvlLbl val="0"/>
      </c:catAx>
      <c:valAx>
        <c:axId val="6140837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4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D-43BF-B243-694D668F8C9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D-43BF-B243-694D668F8C9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D-43BF-B243-694D668F8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0415"/>
        <c:axId val="614072527"/>
      </c:lineChart>
      <c:catAx>
        <c:axId val="614090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2527"/>
        <c:crosses val="autoZero"/>
        <c:auto val="1"/>
        <c:lblAlgn val="ctr"/>
        <c:lblOffset val="100"/>
        <c:noMultiLvlLbl val="0"/>
      </c:catAx>
      <c:valAx>
        <c:axId val="6140725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04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9-4323-8368-2BBDFFC768F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49-4323-8368-2BBDFFC768F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9-4323-8368-2BBDFFC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0847"/>
        <c:axId val="614091247"/>
      </c:lineChart>
      <c:catAx>
        <c:axId val="614080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1247"/>
        <c:crosses val="autoZero"/>
        <c:auto val="1"/>
        <c:lblAlgn val="ctr"/>
        <c:lblOffset val="100"/>
        <c:noMultiLvlLbl val="0"/>
      </c:catAx>
      <c:valAx>
        <c:axId val="614091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08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8-4E53-B9B3-E9E3E09C242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8-4E53-B9B3-E9E3E09C242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88-4E53-B9B3-E9E3E09C2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0015"/>
        <c:axId val="614082927"/>
      </c:lineChart>
      <c:catAx>
        <c:axId val="614080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2927"/>
        <c:crosses val="autoZero"/>
        <c:auto val="1"/>
        <c:lblAlgn val="ctr"/>
        <c:lblOffset val="100"/>
        <c:noMultiLvlLbl val="0"/>
      </c:catAx>
      <c:valAx>
        <c:axId val="61408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00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E-455B-AAA5-019E9256FD5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E-455B-AAA5-019E9256FD5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5E-455B-AAA5-019E9256F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7919"/>
        <c:axId val="614083343"/>
      </c:lineChart>
      <c:catAx>
        <c:axId val="614087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3343"/>
        <c:crosses val="autoZero"/>
        <c:auto val="1"/>
        <c:lblAlgn val="ctr"/>
        <c:lblOffset val="100"/>
        <c:noMultiLvlLbl val="0"/>
      </c:catAx>
      <c:valAx>
        <c:axId val="6140833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79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B-4BE7-82ED-6FE2D6914DC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B-4BE7-82ED-6FE2D6914DC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B-4BE7-82ED-6FE2D691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77935"/>
        <c:axId val="614075439"/>
      </c:lineChart>
      <c:catAx>
        <c:axId val="61407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5439"/>
        <c:crosses val="autoZero"/>
        <c:auto val="1"/>
        <c:lblAlgn val="ctr"/>
        <c:lblOffset val="100"/>
        <c:noMultiLvlLbl val="0"/>
      </c:catAx>
      <c:valAx>
        <c:axId val="614075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79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2-45E8-A2A0-F39C6500E6F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12-45E8-A2A0-F39C6500E6F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12-45E8-A2A0-F39C650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76687"/>
        <c:axId val="614067535"/>
      </c:lineChart>
      <c:catAx>
        <c:axId val="614076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7535"/>
        <c:crosses val="autoZero"/>
        <c:auto val="1"/>
        <c:lblAlgn val="ctr"/>
        <c:lblOffset val="100"/>
        <c:noMultiLvlLbl val="0"/>
      </c:catAx>
      <c:valAx>
        <c:axId val="6140675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76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6-4A23-B673-36B2E04A52F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66-4A23-B673-36B2E04A52F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66-4A23-B673-36B2E04A5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4591"/>
        <c:axId val="614068367"/>
      </c:lineChart>
      <c:catAx>
        <c:axId val="614084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8367"/>
        <c:crosses val="autoZero"/>
        <c:auto val="1"/>
        <c:lblAlgn val="ctr"/>
        <c:lblOffset val="100"/>
        <c:noMultiLvlLbl val="0"/>
      </c:catAx>
      <c:valAx>
        <c:axId val="6140683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45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C-4D35-8238-1179054585F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C-4D35-8238-1179054585F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CC-4D35-8238-117905458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85423"/>
        <c:axId val="614085839"/>
      </c:lineChart>
      <c:catAx>
        <c:axId val="614085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5839"/>
        <c:crosses val="autoZero"/>
        <c:auto val="1"/>
        <c:lblAlgn val="ctr"/>
        <c:lblOffset val="100"/>
        <c:noMultiLvlLbl val="0"/>
      </c:catAx>
      <c:valAx>
        <c:axId val="614085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854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6-4A4E-A449-7DAAFBB54AB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A6-4A4E-A449-7DAAFBB54AB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A6-4A4E-A449-7DAAFBB5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3743"/>
        <c:axId val="614099567"/>
      </c:lineChart>
      <c:catAx>
        <c:axId val="614093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9567"/>
        <c:crosses val="autoZero"/>
        <c:auto val="1"/>
        <c:lblAlgn val="ctr"/>
        <c:lblOffset val="100"/>
        <c:noMultiLvlLbl val="0"/>
      </c:catAx>
      <c:valAx>
        <c:axId val="614099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37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9F-4D65-97A4-5FEA7B4FB94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9F-4D65-97A4-5FEA7B4FB94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9F-4D65-97A4-5FEA7B4FB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5407"/>
        <c:axId val="614097071"/>
      </c:lineChart>
      <c:catAx>
        <c:axId val="61409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7071"/>
        <c:crosses val="autoZero"/>
        <c:auto val="1"/>
        <c:lblAlgn val="ctr"/>
        <c:lblOffset val="100"/>
        <c:noMultiLvlLbl val="0"/>
      </c:catAx>
      <c:valAx>
        <c:axId val="6140970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5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B2-4F2E-B911-1C8E24A15C0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B2-4F2E-B911-1C8E24A15C0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B2-4F2E-B911-1C8E24A15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4159"/>
        <c:axId val="614097487"/>
      </c:lineChart>
      <c:catAx>
        <c:axId val="614094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7487"/>
        <c:crosses val="autoZero"/>
        <c:auto val="1"/>
        <c:lblAlgn val="ctr"/>
        <c:lblOffset val="100"/>
        <c:noMultiLvlLbl val="0"/>
      </c:catAx>
      <c:valAx>
        <c:axId val="6140974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41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D-4E99-903C-E28EED4F31B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7D-4E99-903C-E28EED4F31B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D-4E99-903C-E28EED4F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9151"/>
        <c:axId val="614099983"/>
      </c:lineChart>
      <c:catAx>
        <c:axId val="614099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9983"/>
        <c:crosses val="autoZero"/>
        <c:auto val="1"/>
        <c:lblAlgn val="ctr"/>
        <c:lblOffset val="100"/>
        <c:noMultiLvlLbl val="0"/>
      </c:catAx>
      <c:valAx>
        <c:axId val="6140999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91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B-4A23-A346-F6E179AC7CD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B-4A23-A346-F6E179AC7CD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BB-4A23-A346-F6E179AC7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102895"/>
        <c:axId val="614096239"/>
      </c:lineChart>
      <c:catAx>
        <c:axId val="614102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6239"/>
        <c:crosses val="autoZero"/>
        <c:auto val="1"/>
        <c:lblAlgn val="ctr"/>
        <c:lblOffset val="100"/>
        <c:noMultiLvlLbl val="0"/>
      </c:catAx>
      <c:valAx>
        <c:axId val="614096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28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5-4EC6-A3F5-A87A51CC512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75-4EC6-A3F5-A87A51CC512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75-4EC6-A3F5-A87A51CC5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103727"/>
        <c:axId val="614092911"/>
      </c:lineChart>
      <c:catAx>
        <c:axId val="614103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2911"/>
        <c:crosses val="autoZero"/>
        <c:auto val="1"/>
        <c:lblAlgn val="ctr"/>
        <c:lblOffset val="100"/>
        <c:noMultiLvlLbl val="0"/>
      </c:catAx>
      <c:valAx>
        <c:axId val="614092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37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B6-40CC-989E-2DA1D192D78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B6-40CC-989E-2DA1D192D78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B6-40CC-989E-2DA1D192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6655"/>
        <c:axId val="614102063"/>
      </c:lineChart>
      <c:catAx>
        <c:axId val="61409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2063"/>
        <c:crosses val="autoZero"/>
        <c:auto val="1"/>
        <c:lblAlgn val="ctr"/>
        <c:lblOffset val="100"/>
        <c:noMultiLvlLbl val="0"/>
      </c:catAx>
      <c:valAx>
        <c:axId val="61410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66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C3-43A8-98D9-9600AE6B237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C3-43A8-98D9-9600AE6B237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C3-43A8-98D9-9600AE6B2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104143"/>
        <c:axId val="614097903"/>
      </c:lineChart>
      <c:catAx>
        <c:axId val="614104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7903"/>
        <c:crosses val="autoZero"/>
        <c:auto val="1"/>
        <c:lblAlgn val="ctr"/>
        <c:lblOffset val="100"/>
        <c:noMultiLvlLbl val="0"/>
      </c:catAx>
      <c:valAx>
        <c:axId val="614097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41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1-4BDE-92F9-100C7BB1CF0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C1-4BDE-92F9-100C7BB1CF0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1-4BDE-92F9-100C7BB1C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98735"/>
        <c:axId val="614103311"/>
      </c:lineChart>
      <c:catAx>
        <c:axId val="614098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3311"/>
        <c:crosses val="autoZero"/>
        <c:auto val="1"/>
        <c:lblAlgn val="ctr"/>
        <c:lblOffset val="100"/>
        <c:noMultiLvlLbl val="0"/>
      </c:catAx>
      <c:valAx>
        <c:axId val="614103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87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3-4B95-B6E6-6C4BA78C3BD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3-4B95-B6E6-6C4BA78C3BD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D3-4B95-B6E6-6C4BA78C3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101647"/>
        <c:axId val="614102479"/>
      </c:lineChart>
      <c:catAx>
        <c:axId val="614101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2479"/>
        <c:crosses val="autoZero"/>
        <c:auto val="1"/>
        <c:lblAlgn val="ctr"/>
        <c:lblOffset val="100"/>
        <c:noMultiLvlLbl val="0"/>
      </c:catAx>
      <c:valAx>
        <c:axId val="614102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1016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9-4910-9B18-C7D370FB485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49-4910-9B18-C7D370FB485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49-4910-9B18-C7D370FB4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5455"/>
        <c:axId val="614051311"/>
      </c:lineChart>
      <c:catAx>
        <c:axId val="614065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1311"/>
        <c:crosses val="autoZero"/>
        <c:auto val="1"/>
        <c:lblAlgn val="ctr"/>
        <c:lblOffset val="100"/>
        <c:noMultiLvlLbl val="0"/>
      </c:catAx>
      <c:valAx>
        <c:axId val="614051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54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B-404B-A124-72B84003064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B-404B-A124-72B84003064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B-404B-A124-72B840030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5071"/>
        <c:axId val="614053807"/>
      </c:lineChart>
      <c:catAx>
        <c:axId val="61404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3807"/>
        <c:crosses val="autoZero"/>
        <c:auto val="1"/>
        <c:lblAlgn val="ctr"/>
        <c:lblOffset val="100"/>
        <c:noMultiLvlLbl val="0"/>
      </c:catAx>
      <c:valAx>
        <c:axId val="614053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50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E-4764-BC25-4E23C43B591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E-4764-BC25-4E23C43B591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E-4764-BC25-4E23C43B5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50895"/>
        <c:axId val="614054223"/>
      </c:lineChart>
      <c:catAx>
        <c:axId val="614050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4223"/>
        <c:crosses val="autoZero"/>
        <c:auto val="1"/>
        <c:lblAlgn val="ctr"/>
        <c:lblOffset val="100"/>
        <c:noMultiLvlLbl val="0"/>
      </c:catAx>
      <c:valAx>
        <c:axId val="614054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08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8-4381-9987-D1211283F34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D8-4381-9987-D1211283F34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D8-4381-9987-D1211283F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0879"/>
        <c:axId val="614059215"/>
      </c:lineChart>
      <c:catAx>
        <c:axId val="614060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9215"/>
        <c:crosses val="autoZero"/>
        <c:auto val="1"/>
        <c:lblAlgn val="ctr"/>
        <c:lblOffset val="100"/>
        <c:noMultiLvlLbl val="0"/>
      </c:catAx>
      <c:valAx>
        <c:axId val="6140592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08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3A-4FF5-8A07-EDB9769D9CE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3A-4FF5-8A07-EDB9769D9CE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3A-4FF5-8A07-EDB9769D9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4239"/>
        <c:axId val="614050479"/>
      </c:lineChart>
      <c:catAx>
        <c:axId val="614044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0479"/>
        <c:crosses val="autoZero"/>
        <c:auto val="1"/>
        <c:lblAlgn val="ctr"/>
        <c:lblOffset val="100"/>
        <c:noMultiLvlLbl val="0"/>
      </c:catAx>
      <c:valAx>
        <c:axId val="614050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42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9-4A18-B958-8C1914AAD3E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B9-4A18-B958-8C1914AAD3E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B9-4A18-B958-8C1914AAD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1711"/>
        <c:axId val="614062127"/>
      </c:lineChart>
      <c:catAx>
        <c:axId val="614061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2127"/>
        <c:crosses val="autoZero"/>
        <c:auto val="1"/>
        <c:lblAlgn val="ctr"/>
        <c:lblOffset val="100"/>
        <c:noMultiLvlLbl val="0"/>
      </c:catAx>
      <c:valAx>
        <c:axId val="614062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17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B-422C-A36F-A4710F2EE9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FB-422C-A36F-A4710F2EE9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FB-422C-A36F-A4710F2EE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5871"/>
        <c:axId val="614052975"/>
      </c:lineChart>
      <c:catAx>
        <c:axId val="614065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2975"/>
        <c:crosses val="autoZero"/>
        <c:auto val="1"/>
        <c:lblAlgn val="ctr"/>
        <c:lblOffset val="100"/>
        <c:noMultiLvlLbl val="0"/>
      </c:catAx>
      <c:valAx>
        <c:axId val="614052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58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7-4C0B-8C46-83DA54E8844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17-4C0B-8C46-83DA54E8844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17-4C0B-8C46-83DA54E88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0463"/>
        <c:axId val="614055887"/>
      </c:lineChart>
      <c:catAx>
        <c:axId val="61406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5887"/>
        <c:crosses val="autoZero"/>
        <c:auto val="1"/>
        <c:lblAlgn val="ctr"/>
        <c:lblOffset val="100"/>
        <c:noMultiLvlLbl val="0"/>
      </c:catAx>
      <c:valAx>
        <c:axId val="614055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04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9-4C3E-9B5B-5B41AB8F886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9-4C3E-9B5B-5B41AB8F886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49-4C3E-9B5B-5B41AB8F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2991"/>
        <c:axId val="614056303"/>
      </c:lineChart>
      <c:catAx>
        <c:axId val="614042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6303"/>
        <c:crosses val="autoZero"/>
        <c:auto val="1"/>
        <c:lblAlgn val="ctr"/>
        <c:lblOffset val="100"/>
        <c:noMultiLvlLbl val="0"/>
      </c:catAx>
      <c:valAx>
        <c:axId val="6140563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2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E-43EE-945D-F83C3AE008E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8E-43EE-945D-F83C3AE008E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8E-43EE-945D-F83C3AE0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51727"/>
        <c:axId val="614042159"/>
      </c:lineChart>
      <c:catAx>
        <c:axId val="61405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2159"/>
        <c:crosses val="autoZero"/>
        <c:auto val="1"/>
        <c:lblAlgn val="ctr"/>
        <c:lblOffset val="100"/>
        <c:noMultiLvlLbl val="0"/>
      </c:catAx>
      <c:valAx>
        <c:axId val="614042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17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5-46A5-8482-4C93269293C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5-46A5-8482-4C93269293C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5-46A5-8482-4C9326929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3791"/>
        <c:axId val="614046735"/>
      </c:lineChart>
      <c:catAx>
        <c:axId val="614063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6735"/>
        <c:crosses val="autoZero"/>
        <c:auto val="1"/>
        <c:lblAlgn val="ctr"/>
        <c:lblOffset val="100"/>
        <c:noMultiLvlLbl val="0"/>
      </c:catAx>
      <c:valAx>
        <c:axId val="614046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37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A-411F-9FFC-920FB6117BB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A-411F-9FFC-920FB6117BB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5A-411F-9FFC-920FB6117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0047"/>
        <c:axId val="614057967"/>
      </c:lineChart>
      <c:catAx>
        <c:axId val="614060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7967"/>
        <c:crosses val="autoZero"/>
        <c:auto val="1"/>
        <c:lblAlgn val="ctr"/>
        <c:lblOffset val="100"/>
        <c:noMultiLvlLbl val="0"/>
      </c:catAx>
      <c:valAx>
        <c:axId val="614057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00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9E-44C7-A8EF-67699157C1F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9E-44C7-A8EF-67699157C1F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9E-44C7-A8EF-67699157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6319"/>
        <c:axId val="614047983"/>
      </c:lineChart>
      <c:catAx>
        <c:axId val="614046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7983"/>
        <c:crosses val="autoZero"/>
        <c:auto val="1"/>
        <c:lblAlgn val="ctr"/>
        <c:lblOffset val="100"/>
        <c:noMultiLvlLbl val="0"/>
      </c:catAx>
      <c:valAx>
        <c:axId val="6140479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63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A-47E4-ACF5-FECA447AEF5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A-47E4-ACF5-FECA447AEF5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6A-47E4-ACF5-FECA447AE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0911"/>
        <c:axId val="614045903"/>
      </c:lineChart>
      <c:catAx>
        <c:axId val="614040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5903"/>
        <c:crosses val="autoZero"/>
        <c:auto val="1"/>
        <c:lblAlgn val="ctr"/>
        <c:lblOffset val="100"/>
        <c:noMultiLvlLbl val="0"/>
      </c:catAx>
      <c:valAx>
        <c:axId val="614045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09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D-46A0-AFC4-11F3BB7E9F6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D-46A0-AFC4-11F3BB7E9F6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D-46A0-AFC4-11F3BB7E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3407"/>
        <c:axId val="614042575"/>
      </c:lineChart>
      <c:catAx>
        <c:axId val="614043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2575"/>
        <c:crosses val="autoZero"/>
        <c:auto val="1"/>
        <c:lblAlgn val="ctr"/>
        <c:lblOffset val="100"/>
        <c:noMultiLvlLbl val="0"/>
      </c:catAx>
      <c:valAx>
        <c:axId val="61404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3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1-42CA-B4C0-A9EFF12BE30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11-42CA-B4C0-A9EFF12BE30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11-42CA-B4C0-A9EFF12BE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52559"/>
        <c:axId val="614050063"/>
      </c:lineChart>
      <c:catAx>
        <c:axId val="614052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0063"/>
        <c:crosses val="autoZero"/>
        <c:auto val="1"/>
        <c:lblAlgn val="ctr"/>
        <c:lblOffset val="100"/>
        <c:noMultiLvlLbl val="0"/>
      </c:catAx>
      <c:valAx>
        <c:axId val="614050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25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5-4C6C-99A0-12DAA6BF185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5-4C6C-99A0-12DAA6BF185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75-4C6C-99A0-12DAA6BF1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54639"/>
        <c:axId val="614057551"/>
      </c:lineChart>
      <c:catAx>
        <c:axId val="614054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7551"/>
        <c:crosses val="autoZero"/>
        <c:auto val="1"/>
        <c:lblAlgn val="ctr"/>
        <c:lblOffset val="100"/>
        <c:noMultiLvlLbl val="0"/>
      </c:catAx>
      <c:valAx>
        <c:axId val="6140575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46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55-468A-A255-B5C0F7092BF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55-468A-A255-B5C0F7092BF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55-468A-A255-B5C0F7092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7567"/>
        <c:axId val="614058799"/>
      </c:lineChart>
      <c:catAx>
        <c:axId val="61404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58799"/>
        <c:crosses val="autoZero"/>
        <c:auto val="1"/>
        <c:lblAlgn val="ctr"/>
        <c:lblOffset val="100"/>
        <c:noMultiLvlLbl val="0"/>
      </c:catAx>
      <c:valAx>
        <c:axId val="6140587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75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C56-ACAB-3D41E0CE385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63-4C56-ACAB-3D41E0CE385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63-4C56-ACAB-3D41E0CE3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1295"/>
        <c:axId val="614048399"/>
      </c:lineChart>
      <c:catAx>
        <c:axId val="614061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8399"/>
        <c:crosses val="autoZero"/>
        <c:auto val="1"/>
        <c:lblAlgn val="ctr"/>
        <c:lblOffset val="100"/>
        <c:noMultiLvlLbl val="0"/>
      </c:catAx>
      <c:valAx>
        <c:axId val="6140483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12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5-42E7-82E6-F7C171306EB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5-42E7-82E6-F7C171306EB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C5-42E7-82E6-F7C17130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64623"/>
        <c:axId val="614062543"/>
      </c:lineChart>
      <c:catAx>
        <c:axId val="6140646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2543"/>
        <c:crosses val="autoZero"/>
        <c:auto val="1"/>
        <c:lblAlgn val="ctr"/>
        <c:lblOffset val="100"/>
        <c:noMultiLvlLbl val="0"/>
      </c:catAx>
      <c:valAx>
        <c:axId val="614062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646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E5-47A2-85C9-403AD47556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E5-47A2-85C9-403AD47556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E5-47A2-85C9-403AD4755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040495"/>
        <c:axId val="614041743"/>
      </c:lineChart>
      <c:catAx>
        <c:axId val="614040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1743"/>
        <c:crosses val="autoZero"/>
        <c:auto val="1"/>
        <c:lblAlgn val="ctr"/>
        <c:lblOffset val="100"/>
        <c:noMultiLvlLbl val="0"/>
      </c:catAx>
      <c:valAx>
        <c:axId val="614041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404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C-4915-85DD-A3CC67EE725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6C-4915-85DD-A3CC67EE725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6C-4915-85DD-A3CC67EE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6959"/>
        <c:axId val="37956127"/>
      </c:lineChart>
      <c:catAx>
        <c:axId val="3795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6127"/>
        <c:crosses val="autoZero"/>
        <c:auto val="1"/>
        <c:lblAlgn val="ctr"/>
        <c:lblOffset val="100"/>
        <c:noMultiLvlLbl val="0"/>
      </c:catAx>
      <c:valAx>
        <c:axId val="37956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69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8-4C0A-9E27-4F6663C9A0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8-4C0A-9E27-4F6663C9A0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88-4C0A-9E27-4F6663C9A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9871"/>
        <c:axId val="37953631"/>
      </c:lineChart>
      <c:catAx>
        <c:axId val="37959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3631"/>
        <c:crosses val="autoZero"/>
        <c:auto val="1"/>
        <c:lblAlgn val="ctr"/>
        <c:lblOffset val="100"/>
        <c:noMultiLvlLbl val="0"/>
      </c:catAx>
      <c:valAx>
        <c:axId val="379536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98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8-42CA-863C-1B452A06EA6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18-42CA-863C-1B452A06EA6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18-42CA-863C-1B452A06E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4463"/>
        <c:axId val="37960287"/>
      </c:lineChart>
      <c:catAx>
        <c:axId val="3795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60287"/>
        <c:crosses val="autoZero"/>
        <c:auto val="1"/>
        <c:lblAlgn val="ctr"/>
        <c:lblOffset val="100"/>
        <c:noMultiLvlLbl val="0"/>
      </c:catAx>
      <c:valAx>
        <c:axId val="37960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44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D-4894-A9FC-F64039BA16D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6D-4894-A9FC-F64039BA16D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6D-4894-A9FC-F64039BA1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7791"/>
        <c:axId val="37957375"/>
      </c:lineChart>
      <c:catAx>
        <c:axId val="37957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7375"/>
        <c:crosses val="autoZero"/>
        <c:auto val="1"/>
        <c:lblAlgn val="ctr"/>
        <c:lblOffset val="100"/>
        <c:noMultiLvlLbl val="0"/>
      </c:catAx>
      <c:valAx>
        <c:axId val="379573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77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9-4E90-A194-E8767592326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9-4E90-A194-E8767592326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9-4E90-A194-E87675923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8207"/>
        <c:axId val="37958623"/>
      </c:lineChart>
      <c:catAx>
        <c:axId val="37958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8623"/>
        <c:crosses val="autoZero"/>
        <c:auto val="1"/>
        <c:lblAlgn val="ctr"/>
        <c:lblOffset val="100"/>
        <c:noMultiLvlLbl val="0"/>
      </c:catAx>
      <c:valAx>
        <c:axId val="379586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82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8-4E5E-908C-80E77596ECC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98-4E5E-908C-80E77596ECC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98-4E5E-908C-80E77596E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4047"/>
        <c:axId val="37954879"/>
      </c:lineChart>
      <c:catAx>
        <c:axId val="37954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4879"/>
        <c:crosses val="autoZero"/>
        <c:auto val="1"/>
        <c:lblAlgn val="ctr"/>
        <c:lblOffset val="100"/>
        <c:noMultiLvlLbl val="0"/>
      </c:catAx>
      <c:valAx>
        <c:axId val="3795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40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7B-442F-B161-6BE79E56F9B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7B-442F-B161-6BE79E56F9B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7B-442F-B161-6BE79E56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55295"/>
        <c:axId val="121681695"/>
      </c:lineChart>
      <c:catAx>
        <c:axId val="3795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1695"/>
        <c:crosses val="autoZero"/>
        <c:auto val="1"/>
        <c:lblAlgn val="ctr"/>
        <c:lblOffset val="100"/>
        <c:noMultiLvlLbl val="0"/>
      </c:catAx>
      <c:valAx>
        <c:axId val="121681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9552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B-4F8E-B26C-498CA79ED35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B-4F8E-B26C-498CA79ED35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B-4F8E-B26C-498CA79ED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0863"/>
        <c:axId val="121678783"/>
      </c:lineChart>
      <c:catAx>
        <c:axId val="12168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78783"/>
        <c:crosses val="autoZero"/>
        <c:auto val="1"/>
        <c:lblAlgn val="ctr"/>
        <c:lblOffset val="100"/>
        <c:noMultiLvlLbl val="0"/>
      </c:catAx>
      <c:valAx>
        <c:axId val="1216787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08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DC3-B9CB-78C10CC38D0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DB-4DC3-B9CB-78C10CC38D0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B-4DC3-B9CB-78C10CC3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2527"/>
        <c:axId val="121681279"/>
      </c:lineChart>
      <c:catAx>
        <c:axId val="12168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1279"/>
        <c:crosses val="autoZero"/>
        <c:auto val="1"/>
        <c:lblAlgn val="ctr"/>
        <c:lblOffset val="100"/>
        <c:noMultiLvlLbl val="0"/>
      </c:catAx>
      <c:valAx>
        <c:axId val="121681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25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B-42F4-89D0-7C6B61A636E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DB-42F4-89D0-7C6B61A636E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DB-42F4-89D0-7C6B61A63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2943"/>
        <c:axId val="121677119"/>
      </c:lineChart>
      <c:catAx>
        <c:axId val="12168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77119"/>
        <c:crosses val="autoZero"/>
        <c:auto val="1"/>
        <c:lblAlgn val="ctr"/>
        <c:lblOffset val="100"/>
        <c:noMultiLvlLbl val="0"/>
      </c:catAx>
      <c:valAx>
        <c:axId val="121677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29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3-4DC8-858D-6BE1DCFF690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F3-4DC8-858D-6BE1DCFF690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F3-4DC8-858D-6BE1DCFF6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3359"/>
        <c:axId val="121678367"/>
      </c:lineChart>
      <c:catAx>
        <c:axId val="121683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78367"/>
        <c:crosses val="autoZero"/>
        <c:auto val="1"/>
        <c:lblAlgn val="ctr"/>
        <c:lblOffset val="100"/>
        <c:noMultiLvlLbl val="0"/>
      </c:catAx>
      <c:valAx>
        <c:axId val="1216783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33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8-4951-8C08-2E1A137E4F9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68-4951-8C08-2E1A137E4F9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68-4951-8C08-2E1A137E4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79199"/>
        <c:axId val="121692095"/>
      </c:lineChart>
      <c:catAx>
        <c:axId val="121679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92095"/>
        <c:crosses val="autoZero"/>
        <c:auto val="1"/>
        <c:lblAlgn val="ctr"/>
        <c:lblOffset val="100"/>
        <c:noMultiLvlLbl val="0"/>
      </c:catAx>
      <c:valAx>
        <c:axId val="1216920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791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9-4D3B-82E1-4409DF7AF14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99-4D3B-82E1-4409DF7AF14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99-4D3B-82E1-4409DF7A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91679"/>
        <c:axId val="121683775"/>
      </c:lineChart>
      <c:catAx>
        <c:axId val="121691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3775"/>
        <c:crosses val="autoZero"/>
        <c:auto val="1"/>
        <c:lblAlgn val="ctr"/>
        <c:lblOffset val="100"/>
        <c:noMultiLvlLbl val="0"/>
      </c:catAx>
      <c:valAx>
        <c:axId val="121683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916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9-4670-949B-8042EA3BA58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9-4670-949B-8042EA3BA58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49-4670-949B-8042EA3B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90431"/>
        <c:axId val="121691263"/>
      </c:lineChart>
      <c:catAx>
        <c:axId val="121690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91263"/>
        <c:crosses val="autoZero"/>
        <c:auto val="1"/>
        <c:lblAlgn val="ctr"/>
        <c:lblOffset val="100"/>
        <c:noMultiLvlLbl val="0"/>
      </c:catAx>
      <c:valAx>
        <c:axId val="1216912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904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E-44C1-B316-7A253D2A186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2E-44C1-B316-7A253D2A186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E-44C1-B316-7A253D2A1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0447"/>
        <c:axId val="121682111"/>
      </c:lineChart>
      <c:catAx>
        <c:axId val="121680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2111"/>
        <c:crosses val="autoZero"/>
        <c:auto val="1"/>
        <c:lblAlgn val="ctr"/>
        <c:lblOffset val="100"/>
        <c:noMultiLvlLbl val="0"/>
      </c:catAx>
      <c:valAx>
        <c:axId val="1216821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04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E-452F-8BAC-43E33AA5B13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6E-452F-8BAC-43E33AA5B13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6E-452F-8BAC-43E33AA5B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4607"/>
        <c:axId val="121685439"/>
      </c:lineChart>
      <c:catAx>
        <c:axId val="121684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5439"/>
        <c:crosses val="autoZero"/>
        <c:auto val="1"/>
        <c:lblAlgn val="ctr"/>
        <c:lblOffset val="100"/>
        <c:noMultiLvlLbl val="0"/>
      </c:catAx>
      <c:valAx>
        <c:axId val="121685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4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7-4573-B995-18E619E7609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7-4573-B995-18E619E7609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17-4573-B995-18E619E76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6271"/>
        <c:axId val="121686687"/>
      </c:lineChart>
      <c:catAx>
        <c:axId val="121686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6687"/>
        <c:crosses val="autoZero"/>
        <c:auto val="1"/>
        <c:lblAlgn val="ctr"/>
        <c:lblOffset val="100"/>
        <c:noMultiLvlLbl val="0"/>
      </c:catAx>
      <c:valAx>
        <c:axId val="121686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62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9-4550-B6A9-CB74CD45955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D9-4550-B6A9-CB74CD45955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D9-4550-B6A9-CB74CD459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7103"/>
        <c:axId val="121687519"/>
      </c:lineChart>
      <c:catAx>
        <c:axId val="121687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7519"/>
        <c:crosses val="autoZero"/>
        <c:auto val="1"/>
        <c:lblAlgn val="ctr"/>
        <c:lblOffset val="100"/>
        <c:noMultiLvlLbl val="0"/>
      </c:catAx>
      <c:valAx>
        <c:axId val="121687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71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5-414B-9DEA-9FD7A22C84F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F5-414B-9DEA-9FD7A22C84F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F5-414B-9DEA-9FD7A22C8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88767"/>
        <c:axId val="121689183"/>
      </c:lineChart>
      <c:catAx>
        <c:axId val="121688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9183"/>
        <c:crosses val="autoZero"/>
        <c:auto val="1"/>
        <c:lblAlgn val="ctr"/>
        <c:lblOffset val="100"/>
        <c:noMultiLvlLbl val="0"/>
      </c:catAx>
      <c:valAx>
        <c:axId val="1216891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887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1-4F44-81B7-83FCECC7892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1-4F44-81B7-83FCECC7892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D1-4F44-81B7-83FCECC78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90847"/>
        <c:axId val="987637919"/>
      </c:lineChart>
      <c:catAx>
        <c:axId val="121690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37919"/>
        <c:crosses val="autoZero"/>
        <c:auto val="1"/>
        <c:lblAlgn val="ctr"/>
        <c:lblOffset val="100"/>
        <c:noMultiLvlLbl val="0"/>
      </c:catAx>
      <c:valAx>
        <c:axId val="987637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908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50-4E87-BCE3-C7AFEDCB144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50-4E87-BCE3-C7AFEDCB144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50-4E87-BCE3-C7AFEDCB1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5823"/>
        <c:axId val="987642495"/>
      </c:lineChart>
      <c:catAx>
        <c:axId val="98764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2495"/>
        <c:crosses val="autoZero"/>
        <c:auto val="1"/>
        <c:lblAlgn val="ctr"/>
        <c:lblOffset val="100"/>
        <c:noMultiLvlLbl val="0"/>
      </c:catAx>
      <c:valAx>
        <c:axId val="9876424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5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2-4D93-94CD-5A97E23F24D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42-4D93-94CD-5A97E23F24D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42-4D93-94CD-5A97E23F2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0415"/>
        <c:axId val="987647071"/>
      </c:lineChart>
      <c:catAx>
        <c:axId val="987640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7071"/>
        <c:crosses val="autoZero"/>
        <c:auto val="1"/>
        <c:lblAlgn val="ctr"/>
        <c:lblOffset val="100"/>
        <c:noMultiLvlLbl val="0"/>
      </c:catAx>
      <c:valAx>
        <c:axId val="9876470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04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73-4504-9C97-7A58A9CA051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73-4504-9C97-7A58A9CA051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3-4504-9C97-7A58A9CA0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3327"/>
        <c:axId val="987646239"/>
      </c:lineChart>
      <c:catAx>
        <c:axId val="987643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6239"/>
        <c:crosses val="autoZero"/>
        <c:auto val="1"/>
        <c:lblAlgn val="ctr"/>
        <c:lblOffset val="100"/>
        <c:noMultiLvlLbl val="0"/>
      </c:catAx>
      <c:valAx>
        <c:axId val="987646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33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0B-452D-8B8E-AFA1C6F83FC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0B-452D-8B8E-AFA1C6F83FC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0B-452D-8B8E-AFA1C6F83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36671"/>
        <c:axId val="987646655"/>
      </c:lineChart>
      <c:catAx>
        <c:axId val="987636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6655"/>
        <c:crosses val="autoZero"/>
        <c:auto val="1"/>
        <c:lblAlgn val="ctr"/>
        <c:lblOffset val="100"/>
        <c:noMultiLvlLbl val="0"/>
      </c:catAx>
      <c:valAx>
        <c:axId val="987646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366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C-4ADE-8DDC-501E018D442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5C-4ADE-8DDC-501E018D442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5C-4ADE-8DDC-501E018D4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7487"/>
        <c:axId val="987640831"/>
      </c:lineChart>
      <c:catAx>
        <c:axId val="987647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0831"/>
        <c:crosses val="autoZero"/>
        <c:auto val="1"/>
        <c:lblAlgn val="ctr"/>
        <c:lblOffset val="100"/>
        <c:noMultiLvlLbl val="0"/>
      </c:catAx>
      <c:valAx>
        <c:axId val="987640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74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05-4B41-B91A-B494EF08BC0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05-4B41-B91A-B494EF08BC0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05-4B41-B91A-B494EF08B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51231"/>
        <c:axId val="987647903"/>
      </c:lineChart>
      <c:catAx>
        <c:axId val="987651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7903"/>
        <c:crosses val="autoZero"/>
        <c:auto val="1"/>
        <c:lblAlgn val="ctr"/>
        <c:lblOffset val="100"/>
        <c:noMultiLvlLbl val="0"/>
      </c:catAx>
      <c:valAx>
        <c:axId val="987647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512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1-4841-8693-608DD01F248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1-4841-8693-608DD01F248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B1-4841-8693-608DD01F2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51647"/>
        <c:axId val="987638751"/>
      </c:lineChart>
      <c:catAx>
        <c:axId val="987651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38751"/>
        <c:crosses val="autoZero"/>
        <c:auto val="1"/>
        <c:lblAlgn val="ctr"/>
        <c:lblOffset val="100"/>
        <c:noMultiLvlLbl val="0"/>
      </c:catAx>
      <c:valAx>
        <c:axId val="987638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516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EC-41E3-87E5-CBE5728DC7A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C-41E3-87E5-CBE5728DC7A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EC-41E3-87E5-CBE5728DC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5407"/>
        <c:axId val="987637087"/>
      </c:lineChart>
      <c:catAx>
        <c:axId val="98764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37087"/>
        <c:crosses val="autoZero"/>
        <c:auto val="1"/>
        <c:lblAlgn val="ctr"/>
        <c:lblOffset val="100"/>
        <c:noMultiLvlLbl val="0"/>
      </c:catAx>
      <c:valAx>
        <c:axId val="9876370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5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A-4F13-8EB7-11C256ED529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3A-4F13-8EB7-11C256ED529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3A-4F13-8EB7-11C256ED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8319"/>
        <c:axId val="987639167"/>
      </c:lineChart>
      <c:catAx>
        <c:axId val="987648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39167"/>
        <c:crosses val="autoZero"/>
        <c:auto val="1"/>
        <c:lblAlgn val="ctr"/>
        <c:lblOffset val="100"/>
        <c:noMultiLvlLbl val="0"/>
      </c:catAx>
      <c:valAx>
        <c:axId val="987639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83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9-4064-83D1-07BE5C799E3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9-4064-83D1-07BE5C799E3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69-4064-83D1-07BE5C799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50399"/>
        <c:axId val="987648735"/>
      </c:lineChart>
      <c:catAx>
        <c:axId val="987650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8735"/>
        <c:crosses val="autoZero"/>
        <c:auto val="1"/>
        <c:lblAlgn val="ctr"/>
        <c:lblOffset val="100"/>
        <c:noMultiLvlLbl val="0"/>
      </c:catAx>
      <c:valAx>
        <c:axId val="987648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503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010-A593-08A11DC774E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010-A593-08A11DC774E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49-4010-A593-08A11DC77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9983"/>
        <c:axId val="987641247"/>
      </c:lineChart>
      <c:catAx>
        <c:axId val="987649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1247"/>
        <c:crosses val="autoZero"/>
        <c:auto val="1"/>
        <c:lblAlgn val="ctr"/>
        <c:lblOffset val="100"/>
        <c:noMultiLvlLbl val="0"/>
      </c:catAx>
      <c:valAx>
        <c:axId val="987641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99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A-450C-B7F4-27F92740675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FA-450C-B7F4-27F92740675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FA-450C-B7F4-27F927406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2911"/>
        <c:axId val="987644159"/>
      </c:lineChart>
      <c:catAx>
        <c:axId val="987642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4159"/>
        <c:crosses val="autoZero"/>
        <c:auto val="1"/>
        <c:lblAlgn val="ctr"/>
        <c:lblOffset val="100"/>
        <c:noMultiLvlLbl val="0"/>
      </c:catAx>
      <c:valAx>
        <c:axId val="987644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29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0-4311-9A5A-5D91F23AE1B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B0-4311-9A5A-5D91F23AE1B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0-4311-9A5A-5D91F23AE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644991"/>
        <c:axId val="642952543"/>
      </c:lineChart>
      <c:catAx>
        <c:axId val="98764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2543"/>
        <c:crosses val="autoZero"/>
        <c:auto val="1"/>
        <c:lblAlgn val="ctr"/>
        <c:lblOffset val="100"/>
        <c:noMultiLvlLbl val="0"/>
      </c:catAx>
      <c:valAx>
        <c:axId val="642952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7644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8-477A-9C8A-7A96C0208E2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88-477A-9C8A-7A96C0208E2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88-477A-9C8A-7A96C0208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64191"/>
        <c:axId val="642950047"/>
      </c:lineChart>
      <c:catAx>
        <c:axId val="642964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0047"/>
        <c:crosses val="autoZero"/>
        <c:auto val="1"/>
        <c:lblAlgn val="ctr"/>
        <c:lblOffset val="100"/>
        <c:noMultiLvlLbl val="0"/>
      </c:catAx>
      <c:valAx>
        <c:axId val="642950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41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A-4E08-A507-1A0003F2ABC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DA-4E08-A507-1A0003F2ABC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DA-4E08-A507-1A0003F2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7119"/>
        <c:axId val="642957535"/>
      </c:lineChart>
      <c:catAx>
        <c:axId val="64295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7535"/>
        <c:crosses val="autoZero"/>
        <c:auto val="1"/>
        <c:lblAlgn val="ctr"/>
        <c:lblOffset val="100"/>
        <c:noMultiLvlLbl val="0"/>
      </c:catAx>
      <c:valAx>
        <c:axId val="6429575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71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B-4322-9CA4-C4FCB295FD2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B-4322-9CA4-C4FCB295FD2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B-4322-9CA4-C4FCB295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9615"/>
        <c:axId val="642955039"/>
      </c:lineChart>
      <c:catAx>
        <c:axId val="642959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5039"/>
        <c:crosses val="autoZero"/>
        <c:auto val="1"/>
        <c:lblAlgn val="ctr"/>
        <c:lblOffset val="100"/>
        <c:noMultiLvlLbl val="0"/>
      </c:catAx>
      <c:valAx>
        <c:axId val="642955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9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1A-437A-865B-0A8D2A7B9B8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1A-437A-865B-0A8D2A7B9B8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1A-437A-865B-0A8D2A7B9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7951"/>
        <c:axId val="642962527"/>
      </c:lineChart>
      <c:catAx>
        <c:axId val="6429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2527"/>
        <c:crosses val="autoZero"/>
        <c:auto val="1"/>
        <c:lblAlgn val="ctr"/>
        <c:lblOffset val="100"/>
        <c:noMultiLvlLbl val="0"/>
      </c:catAx>
      <c:valAx>
        <c:axId val="6429625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79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5-4314-B70C-4F07290AFC4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F5-4314-B70C-4F07290AFC4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F5-4314-B70C-4F07290AF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3375"/>
        <c:axId val="642952127"/>
      </c:lineChart>
      <c:catAx>
        <c:axId val="642953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2127"/>
        <c:crosses val="autoZero"/>
        <c:auto val="1"/>
        <c:lblAlgn val="ctr"/>
        <c:lblOffset val="100"/>
        <c:noMultiLvlLbl val="0"/>
      </c:catAx>
      <c:valAx>
        <c:axId val="642952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33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7-4FC0-892A-0855FD6D198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7-4FC0-892A-0855FD6D198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7-4FC0-892A-0855FD6D1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64607"/>
        <c:axId val="642960031"/>
      </c:lineChart>
      <c:catAx>
        <c:axId val="642964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0031"/>
        <c:crosses val="autoZero"/>
        <c:auto val="1"/>
        <c:lblAlgn val="ctr"/>
        <c:lblOffset val="100"/>
        <c:noMultiLvlLbl val="0"/>
      </c:catAx>
      <c:valAx>
        <c:axId val="6429600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4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4-48BC-9E3C-2EA972EF98D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B4-48BC-9E3C-2EA972EF98D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B4-48BC-9E3C-2EA972EF9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49215"/>
        <c:axId val="642951295"/>
      </c:lineChart>
      <c:catAx>
        <c:axId val="642949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1295"/>
        <c:crosses val="autoZero"/>
        <c:auto val="1"/>
        <c:lblAlgn val="ctr"/>
        <c:lblOffset val="100"/>
        <c:noMultiLvlLbl val="0"/>
      </c:catAx>
      <c:valAx>
        <c:axId val="6429512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492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489-85E5-26633B9C017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FE-4489-85E5-26633B9C017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FE-4489-85E5-26633B9C0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60863"/>
        <c:axId val="642962111"/>
      </c:lineChart>
      <c:catAx>
        <c:axId val="642960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2111"/>
        <c:crosses val="autoZero"/>
        <c:auto val="1"/>
        <c:lblAlgn val="ctr"/>
        <c:lblOffset val="100"/>
        <c:noMultiLvlLbl val="0"/>
      </c:catAx>
      <c:valAx>
        <c:axId val="6429621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08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D-40DE-AC77-B5EAAC4DDA0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D-40DE-AC77-B5EAAC4DDA0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D-40DE-AC77-B5EAAC4D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8783"/>
        <c:axId val="642961695"/>
      </c:lineChart>
      <c:catAx>
        <c:axId val="642958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1695"/>
        <c:crosses val="autoZero"/>
        <c:auto val="1"/>
        <c:lblAlgn val="ctr"/>
        <c:lblOffset val="100"/>
        <c:noMultiLvlLbl val="0"/>
      </c:catAx>
      <c:valAx>
        <c:axId val="642961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87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2-4DC1-9CF8-56A043151AF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B2-4DC1-9CF8-56A043151AF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B2-4DC1-9CF8-56A043151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0463"/>
        <c:axId val="642963359"/>
      </c:lineChart>
      <c:catAx>
        <c:axId val="64295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63359"/>
        <c:crosses val="autoZero"/>
        <c:auto val="1"/>
        <c:lblAlgn val="ctr"/>
        <c:lblOffset val="100"/>
        <c:noMultiLvlLbl val="0"/>
      </c:catAx>
      <c:valAx>
        <c:axId val="642963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04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9-4DD6-B80E-E194BB35718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9-4DD6-B80E-E194BB35718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A9-4DD6-B80E-E194BB357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49631"/>
        <c:axId val="642950879"/>
      </c:lineChart>
      <c:catAx>
        <c:axId val="642949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0879"/>
        <c:crosses val="autoZero"/>
        <c:auto val="1"/>
        <c:lblAlgn val="ctr"/>
        <c:lblOffset val="100"/>
        <c:noMultiLvlLbl val="0"/>
      </c:catAx>
      <c:valAx>
        <c:axId val="642950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496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2-4BFF-99A4-0D0F98C879E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92-4BFF-99A4-0D0F98C879E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92-4BFF-99A4-0D0F98C87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1711"/>
        <c:axId val="642953791"/>
      </c:lineChart>
      <c:catAx>
        <c:axId val="642951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3791"/>
        <c:crosses val="autoZero"/>
        <c:auto val="1"/>
        <c:lblAlgn val="ctr"/>
        <c:lblOffset val="100"/>
        <c:noMultiLvlLbl val="0"/>
      </c:catAx>
      <c:valAx>
        <c:axId val="642953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17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0-4248-9BF8-136C5E85B72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0-4248-9BF8-136C5E85B72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0-4248-9BF8-136C5E85B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2956287"/>
        <c:axId val="134715583"/>
      </c:lineChart>
      <c:catAx>
        <c:axId val="642956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5583"/>
        <c:crosses val="autoZero"/>
        <c:auto val="1"/>
        <c:lblAlgn val="ctr"/>
        <c:lblOffset val="100"/>
        <c:noMultiLvlLbl val="0"/>
      </c:catAx>
      <c:valAx>
        <c:axId val="134715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29562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4423-901B-FE961AF3303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4423-901B-FE961AF3303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4423-901B-FE961AF33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14751"/>
        <c:axId val="134715167"/>
      </c:lineChart>
      <c:catAx>
        <c:axId val="13471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5167"/>
        <c:crosses val="autoZero"/>
        <c:auto val="1"/>
        <c:lblAlgn val="ctr"/>
        <c:lblOffset val="100"/>
        <c:noMultiLvlLbl val="0"/>
      </c:catAx>
      <c:valAx>
        <c:axId val="13471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47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2-426E-B4F8-A477A1B2421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62-426E-B4F8-A477A1B2421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62-426E-B4F8-A477A1B24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15999"/>
        <c:axId val="134717247"/>
      </c:lineChart>
      <c:catAx>
        <c:axId val="134715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7247"/>
        <c:crosses val="autoZero"/>
        <c:auto val="1"/>
        <c:lblAlgn val="ctr"/>
        <c:lblOffset val="100"/>
        <c:noMultiLvlLbl val="0"/>
      </c:catAx>
      <c:valAx>
        <c:axId val="134717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59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4-43AB-A104-803F1D70C68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44-43AB-A104-803F1D70C68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44-43AB-A104-803F1D70C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0159"/>
        <c:axId val="134716415"/>
      </c:lineChart>
      <c:catAx>
        <c:axId val="13472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6415"/>
        <c:crosses val="autoZero"/>
        <c:auto val="1"/>
        <c:lblAlgn val="ctr"/>
        <c:lblOffset val="100"/>
        <c:noMultiLvlLbl val="0"/>
      </c:catAx>
      <c:valAx>
        <c:axId val="13471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01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5-42B6-9F1A-FC4FEFEB771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5-42B6-9F1A-FC4FEFEB771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5-42B6-9F1A-FC4FEFEB7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5151"/>
        <c:axId val="134717663"/>
      </c:lineChart>
      <c:catAx>
        <c:axId val="13472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7663"/>
        <c:crosses val="autoZero"/>
        <c:auto val="1"/>
        <c:lblAlgn val="ctr"/>
        <c:lblOffset val="100"/>
        <c:noMultiLvlLbl val="0"/>
      </c:catAx>
      <c:valAx>
        <c:axId val="134717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51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D3-4844-8E04-26A53535882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3-4844-8E04-26A53535882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3-4844-8E04-26A535358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0991"/>
        <c:axId val="134727231"/>
      </c:lineChart>
      <c:catAx>
        <c:axId val="13472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7231"/>
        <c:crosses val="autoZero"/>
        <c:auto val="1"/>
        <c:lblAlgn val="ctr"/>
        <c:lblOffset val="100"/>
        <c:noMultiLvlLbl val="0"/>
      </c:catAx>
      <c:valAx>
        <c:axId val="134727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0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6D-452F-B0C7-9518B476F56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6D-452F-B0C7-9518B476F56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6D-452F-B0C7-9518B476F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0575"/>
        <c:axId val="134726815"/>
      </c:lineChart>
      <c:catAx>
        <c:axId val="134720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6815"/>
        <c:crosses val="autoZero"/>
        <c:auto val="1"/>
        <c:lblAlgn val="ctr"/>
        <c:lblOffset val="100"/>
        <c:noMultiLvlLbl val="0"/>
      </c:catAx>
      <c:valAx>
        <c:axId val="13472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05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9-4D0F-A586-955D1C569BF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9-4D0F-A586-955D1C569BF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9-4D0F-A586-955D1C569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19327"/>
        <c:axId val="134722239"/>
      </c:lineChart>
      <c:catAx>
        <c:axId val="134719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2239"/>
        <c:crosses val="autoZero"/>
        <c:auto val="1"/>
        <c:lblAlgn val="ctr"/>
        <c:lblOffset val="100"/>
        <c:noMultiLvlLbl val="0"/>
      </c:catAx>
      <c:valAx>
        <c:axId val="134722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93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0D-45F8-BC06-269306D8369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0D-45F8-BC06-269306D8369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0D-45F8-BC06-269306D8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18079"/>
        <c:axId val="134721407"/>
      </c:lineChart>
      <c:catAx>
        <c:axId val="134718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1407"/>
        <c:crosses val="autoZero"/>
        <c:auto val="1"/>
        <c:lblAlgn val="ctr"/>
        <c:lblOffset val="100"/>
        <c:noMultiLvlLbl val="0"/>
      </c:catAx>
      <c:valAx>
        <c:axId val="134721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80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A-44A9-A138-C16A6BDBFE5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6A-44A9-A138-C16A6BDBFE5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6A-44A9-A138-C16A6BDBF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8063"/>
        <c:axId val="134729727"/>
      </c:lineChart>
      <c:catAx>
        <c:axId val="134728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9727"/>
        <c:crosses val="autoZero"/>
        <c:auto val="1"/>
        <c:lblAlgn val="ctr"/>
        <c:lblOffset val="100"/>
        <c:noMultiLvlLbl val="0"/>
      </c:catAx>
      <c:valAx>
        <c:axId val="134729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80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6-48D3-858C-836B797D9A2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6-48D3-858C-836B797D9A2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6-48D3-858C-836B797D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3903"/>
        <c:axId val="134728479"/>
      </c:lineChart>
      <c:catAx>
        <c:axId val="134723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8479"/>
        <c:crosses val="autoZero"/>
        <c:auto val="1"/>
        <c:lblAlgn val="ctr"/>
        <c:lblOffset val="100"/>
        <c:noMultiLvlLbl val="0"/>
      </c:catAx>
      <c:valAx>
        <c:axId val="13472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39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FF-4E2F-BCCD-7C140D3F8B7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FF-4E2F-BCCD-7C140D3F8B7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FF-4E2F-BCCD-7C140D3F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18495"/>
        <c:axId val="134722655"/>
      </c:lineChart>
      <c:catAx>
        <c:axId val="134718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2655"/>
        <c:crosses val="autoZero"/>
        <c:auto val="1"/>
        <c:lblAlgn val="ctr"/>
        <c:lblOffset val="100"/>
        <c:noMultiLvlLbl val="0"/>
      </c:catAx>
      <c:valAx>
        <c:axId val="134722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184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2-43DE-B88E-5225366B381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D2-43DE-B88E-5225366B381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D2-43DE-B88E-5225366B3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30559"/>
        <c:axId val="134724735"/>
      </c:lineChart>
      <c:catAx>
        <c:axId val="13473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4735"/>
        <c:crosses val="autoZero"/>
        <c:auto val="1"/>
        <c:lblAlgn val="ctr"/>
        <c:lblOffset val="100"/>
        <c:noMultiLvlLbl val="0"/>
      </c:catAx>
      <c:valAx>
        <c:axId val="134724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305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C4-46C6-9852-BCBFAB57AF6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4-46C6-9852-BCBFAB57AF6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C4-46C6-9852-BCBFAB57A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728895"/>
        <c:axId val="615987247"/>
      </c:lineChart>
      <c:catAx>
        <c:axId val="134728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7247"/>
        <c:crosses val="autoZero"/>
        <c:auto val="1"/>
        <c:lblAlgn val="ctr"/>
        <c:lblOffset val="100"/>
        <c:noMultiLvlLbl val="0"/>
      </c:catAx>
      <c:valAx>
        <c:axId val="615987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7288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0-4326-81E8-1E261F153CE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0-4326-81E8-1E261F153CE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60-4326-81E8-1E261F15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6831"/>
        <c:axId val="615968111"/>
      </c:lineChart>
      <c:catAx>
        <c:axId val="61598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8111"/>
        <c:crosses val="autoZero"/>
        <c:auto val="1"/>
        <c:lblAlgn val="ctr"/>
        <c:lblOffset val="100"/>
        <c:noMultiLvlLbl val="0"/>
      </c:catAx>
      <c:valAx>
        <c:axId val="6159681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68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D-4CDC-B0FA-ADCF6D4088A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BD-4CDC-B0FA-ADCF6D4088A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BD-4CDC-B0FA-ADCF6D408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7663"/>
        <c:axId val="615989743"/>
      </c:lineChart>
      <c:catAx>
        <c:axId val="615987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9743"/>
        <c:crosses val="autoZero"/>
        <c:auto val="1"/>
        <c:lblAlgn val="ctr"/>
        <c:lblOffset val="100"/>
        <c:noMultiLvlLbl val="0"/>
      </c:catAx>
      <c:valAx>
        <c:axId val="615989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76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7-4565-991F-F5B7794ED0D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C7-4565-991F-F5B7794ED0D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C7-4565-991F-F5B7794ED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0575"/>
        <c:axId val="615968943"/>
      </c:lineChart>
      <c:catAx>
        <c:axId val="615990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8943"/>
        <c:crosses val="autoZero"/>
        <c:auto val="1"/>
        <c:lblAlgn val="ctr"/>
        <c:lblOffset val="100"/>
        <c:noMultiLvlLbl val="0"/>
      </c:catAx>
      <c:valAx>
        <c:axId val="6159689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05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4-4607-B4F6-33640BB95E2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E4-4607-B4F6-33640BB95E2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E4-4607-B4F6-33640BB95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8511"/>
        <c:axId val="615974351"/>
      </c:lineChart>
      <c:catAx>
        <c:axId val="615978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4351"/>
        <c:crosses val="autoZero"/>
        <c:auto val="1"/>
        <c:lblAlgn val="ctr"/>
        <c:lblOffset val="100"/>
        <c:noMultiLvlLbl val="0"/>
      </c:catAx>
      <c:valAx>
        <c:axId val="615974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85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6-4684-8123-7FC070C2C2F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6-4684-8123-7FC070C2C2F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46-4684-8123-7FC070C2C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5615"/>
        <c:axId val="615971855"/>
      </c:lineChart>
      <c:catAx>
        <c:axId val="615965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1855"/>
        <c:crosses val="autoZero"/>
        <c:auto val="1"/>
        <c:lblAlgn val="ctr"/>
        <c:lblOffset val="100"/>
        <c:noMultiLvlLbl val="0"/>
      </c:catAx>
      <c:valAx>
        <c:axId val="6159718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5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7-4E2E-B57C-8550C29BC0E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67-4E2E-B57C-8550C29BC0E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67-4E2E-B57C-8550C29BC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6031"/>
        <c:axId val="615977679"/>
      </c:lineChart>
      <c:catAx>
        <c:axId val="61596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7679"/>
        <c:crosses val="autoZero"/>
        <c:auto val="1"/>
        <c:lblAlgn val="ctr"/>
        <c:lblOffset val="100"/>
        <c:noMultiLvlLbl val="0"/>
      </c:catAx>
      <c:valAx>
        <c:axId val="615977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60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0-413B-9454-CA38FF6C412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0-413B-9454-CA38FF6C412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30-413B-9454-CA38FF6C4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4783"/>
        <c:axId val="615980591"/>
      </c:lineChart>
      <c:catAx>
        <c:axId val="615964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0591"/>
        <c:crosses val="autoZero"/>
        <c:auto val="1"/>
        <c:lblAlgn val="ctr"/>
        <c:lblOffset val="100"/>
        <c:noMultiLvlLbl val="0"/>
      </c:catAx>
      <c:valAx>
        <c:axId val="6159805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47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F-4EDF-B9A8-6DAE04569BA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EF-4EDF-B9A8-6DAE04569BA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EF-4EDF-B9A8-6DAE04569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8527"/>
        <c:axId val="615988079"/>
      </c:lineChart>
      <c:catAx>
        <c:axId val="615968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8079"/>
        <c:crosses val="autoZero"/>
        <c:auto val="1"/>
        <c:lblAlgn val="ctr"/>
        <c:lblOffset val="100"/>
        <c:noMultiLvlLbl val="0"/>
      </c:catAx>
      <c:valAx>
        <c:axId val="615988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85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B-4983-A441-B3DAFCDABDB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B-4983-A441-B3DAFCDABDB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B-4983-A441-B3DAFCDAB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2671"/>
        <c:axId val="615985167"/>
      </c:lineChart>
      <c:catAx>
        <c:axId val="615982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5167"/>
        <c:crosses val="autoZero"/>
        <c:auto val="1"/>
        <c:lblAlgn val="ctr"/>
        <c:lblOffset val="100"/>
        <c:noMultiLvlLbl val="0"/>
      </c:catAx>
      <c:valAx>
        <c:axId val="61598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26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C-414B-B5C5-4270D79F61B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C-414B-B5C5-4270D79F61B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EC-414B-B5C5-4270D79F6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5183"/>
        <c:axId val="615985583"/>
      </c:lineChart>
      <c:catAx>
        <c:axId val="61597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5583"/>
        <c:crosses val="autoZero"/>
        <c:auto val="1"/>
        <c:lblAlgn val="ctr"/>
        <c:lblOffset val="100"/>
        <c:noMultiLvlLbl val="0"/>
      </c:catAx>
      <c:valAx>
        <c:axId val="615985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51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A-404A-9F0C-E4E1FE2DD47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A-404A-9F0C-E4E1FE2DD47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7A-404A-9F0C-E4E1FE2DD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1007"/>
        <c:axId val="615983503"/>
      </c:lineChart>
      <c:catAx>
        <c:axId val="615981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3503"/>
        <c:crosses val="autoZero"/>
        <c:auto val="1"/>
        <c:lblAlgn val="ctr"/>
        <c:lblOffset val="100"/>
        <c:noMultiLvlLbl val="0"/>
      </c:catAx>
      <c:valAx>
        <c:axId val="6159835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10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2-4FFB-B561-675E8F9A977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2-4FFB-B561-675E8F9A977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12-4FFB-B561-675E8F9A9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2687"/>
        <c:axId val="615969359"/>
      </c:lineChart>
      <c:catAx>
        <c:axId val="615972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9359"/>
        <c:crosses val="autoZero"/>
        <c:auto val="1"/>
        <c:lblAlgn val="ctr"/>
        <c:lblOffset val="100"/>
        <c:noMultiLvlLbl val="0"/>
      </c:catAx>
      <c:valAx>
        <c:axId val="6159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2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E-44BC-B9E3-DF7060314F2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0E-44BC-B9E3-DF7060314F2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0E-44BC-B9E3-DF7060314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8495"/>
        <c:axId val="615969775"/>
      </c:lineChart>
      <c:catAx>
        <c:axId val="615988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9775"/>
        <c:crosses val="autoZero"/>
        <c:auto val="1"/>
        <c:lblAlgn val="ctr"/>
        <c:lblOffset val="100"/>
        <c:noMultiLvlLbl val="0"/>
      </c:catAx>
      <c:valAx>
        <c:axId val="615969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84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2-4721-93A9-E8C9B1634CE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62-4721-93A9-E8C9B1634CE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62-4721-93A9-E8C9B1634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3919"/>
        <c:axId val="615984335"/>
      </c:lineChart>
      <c:catAx>
        <c:axId val="615983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4335"/>
        <c:crosses val="autoZero"/>
        <c:auto val="1"/>
        <c:lblAlgn val="ctr"/>
        <c:lblOffset val="100"/>
        <c:noMultiLvlLbl val="0"/>
      </c:catAx>
      <c:valAx>
        <c:axId val="615984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39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3-44E8-A060-E50481B8D42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3-44E8-A060-E50481B8D42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3-44E8-A060-E50481B8D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9759"/>
        <c:axId val="615981423"/>
      </c:lineChart>
      <c:catAx>
        <c:axId val="61597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1423"/>
        <c:crosses val="autoZero"/>
        <c:auto val="1"/>
        <c:lblAlgn val="ctr"/>
        <c:lblOffset val="100"/>
        <c:noMultiLvlLbl val="0"/>
      </c:catAx>
      <c:valAx>
        <c:axId val="6159814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97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1-44F2-A289-3257D06C7D6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1-44F2-A289-3257D06C7D6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1-44F2-A289-3257D06C7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6015"/>
        <c:axId val="615989327"/>
      </c:lineChart>
      <c:catAx>
        <c:axId val="615976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9327"/>
        <c:crosses val="autoZero"/>
        <c:auto val="1"/>
        <c:lblAlgn val="ctr"/>
        <c:lblOffset val="100"/>
        <c:noMultiLvlLbl val="0"/>
      </c:catAx>
      <c:valAx>
        <c:axId val="61598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60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3-44B2-989E-8499EDD2E13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E3-44B2-989E-8499EDD2E13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3-44B2-989E-8499EDD2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0159"/>
        <c:axId val="615972271"/>
      </c:lineChart>
      <c:catAx>
        <c:axId val="61599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2271"/>
        <c:crosses val="autoZero"/>
        <c:auto val="1"/>
        <c:lblAlgn val="ctr"/>
        <c:lblOffset val="100"/>
        <c:noMultiLvlLbl val="0"/>
      </c:catAx>
      <c:valAx>
        <c:axId val="615972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01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8-45EE-A9B8-C9960E6C9C8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28-45EE-A9B8-C9960E6C9C8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28-45EE-A9B8-C9960E6C9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83087"/>
        <c:axId val="615990991"/>
      </c:lineChart>
      <c:catAx>
        <c:axId val="61598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0991"/>
        <c:crosses val="autoZero"/>
        <c:auto val="1"/>
        <c:lblAlgn val="ctr"/>
        <c:lblOffset val="100"/>
        <c:noMultiLvlLbl val="0"/>
      </c:catAx>
      <c:valAx>
        <c:axId val="615990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830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1-4D3D-8304-971313814FE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91-4D3D-8304-971313814FE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91-4D3D-8304-971313814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5199"/>
        <c:axId val="615973103"/>
      </c:lineChart>
      <c:catAx>
        <c:axId val="615965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3103"/>
        <c:crosses val="autoZero"/>
        <c:auto val="1"/>
        <c:lblAlgn val="ctr"/>
        <c:lblOffset val="100"/>
        <c:noMultiLvlLbl val="0"/>
      </c:catAx>
      <c:valAx>
        <c:axId val="6159731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51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B-4D6F-9087-A71550A27F1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BB-4D6F-9087-A71550A27F1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BB-4D6F-9087-A71550A27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66863"/>
        <c:axId val="615967279"/>
      </c:lineChart>
      <c:catAx>
        <c:axId val="615966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7279"/>
        <c:crosses val="autoZero"/>
        <c:auto val="1"/>
        <c:lblAlgn val="ctr"/>
        <c:lblOffset val="100"/>
        <c:noMultiLvlLbl val="0"/>
      </c:catAx>
      <c:valAx>
        <c:axId val="615967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668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4-4D73-B2A7-C538C8B9A87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4-4D73-B2A7-C538C8B9A87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14-4D73-B2A7-C538C8B9A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70607"/>
        <c:axId val="615971023"/>
      </c:lineChart>
      <c:catAx>
        <c:axId val="615970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1023"/>
        <c:crosses val="autoZero"/>
        <c:auto val="1"/>
        <c:lblAlgn val="ctr"/>
        <c:lblOffset val="100"/>
        <c:noMultiLvlLbl val="0"/>
      </c:catAx>
      <c:valAx>
        <c:axId val="6159710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70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4-4DA5-83C1-15004D4428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4-4DA5-83C1-15004D4428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4-4DA5-83C1-15004D442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5151"/>
        <c:axId val="615995983"/>
      </c:lineChart>
      <c:catAx>
        <c:axId val="61599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5983"/>
        <c:crosses val="autoZero"/>
        <c:auto val="1"/>
        <c:lblAlgn val="ctr"/>
        <c:lblOffset val="100"/>
        <c:noMultiLvlLbl val="0"/>
      </c:catAx>
      <c:valAx>
        <c:axId val="6159959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51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A-47DA-88C0-2CD3C780A76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EA-47DA-88C0-2CD3C780A76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EA-47DA-88C0-2CD3C780A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1407"/>
        <c:axId val="615995567"/>
      </c:lineChart>
      <c:catAx>
        <c:axId val="615991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5567"/>
        <c:crosses val="autoZero"/>
        <c:auto val="1"/>
        <c:lblAlgn val="ctr"/>
        <c:lblOffset val="100"/>
        <c:noMultiLvlLbl val="0"/>
      </c:catAx>
      <c:valAx>
        <c:axId val="61599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1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99E-8746-2508675CB40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80-499E-8746-2508675CB40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80-499E-8746-2508675CB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4319"/>
        <c:axId val="615992655"/>
      </c:lineChart>
      <c:catAx>
        <c:axId val="61599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2655"/>
        <c:crosses val="autoZero"/>
        <c:auto val="1"/>
        <c:lblAlgn val="ctr"/>
        <c:lblOffset val="100"/>
        <c:noMultiLvlLbl val="0"/>
      </c:catAx>
      <c:valAx>
        <c:axId val="615992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43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1-48F5-A6C0-EC835F964D6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1-48F5-A6C0-EC835F964D6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11-48F5-A6C0-EC835F964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6815"/>
        <c:axId val="615991823"/>
      </c:lineChart>
      <c:catAx>
        <c:axId val="61599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1823"/>
        <c:crosses val="autoZero"/>
        <c:auto val="1"/>
        <c:lblAlgn val="ctr"/>
        <c:lblOffset val="100"/>
        <c:noMultiLvlLbl val="0"/>
      </c:catAx>
      <c:valAx>
        <c:axId val="6159918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68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0-4F79-BD44-2D947E4941F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0-4F79-BD44-2D947E4941F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0-4F79-BD44-2D947E49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993903"/>
        <c:axId val="614092079"/>
      </c:lineChart>
      <c:catAx>
        <c:axId val="615993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4092079"/>
        <c:crosses val="autoZero"/>
        <c:auto val="1"/>
        <c:lblAlgn val="ctr"/>
        <c:lblOffset val="100"/>
        <c:noMultiLvlLbl val="0"/>
      </c:catAx>
      <c:valAx>
        <c:axId val="614092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59939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7B-404F-B899-693DB96C6E3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7B-404F-B899-693DB96C6E3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7B-404F-B899-693DB96C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8255"/>
        <c:axId val="31754495"/>
      </c:lineChart>
      <c:catAx>
        <c:axId val="31748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4495"/>
        <c:crosses val="autoZero"/>
        <c:auto val="1"/>
        <c:lblAlgn val="ctr"/>
        <c:lblOffset val="100"/>
        <c:noMultiLvlLbl val="0"/>
      </c:catAx>
      <c:valAx>
        <c:axId val="317544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82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C-4E2C-B095-C88E2E1E8CD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8C-4E2C-B095-C88E2E1E8CD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8C-4E2C-B095-C88E2E1E8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0335"/>
        <c:axId val="31750751"/>
      </c:lineChart>
      <c:catAx>
        <c:axId val="31750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0751"/>
        <c:crosses val="autoZero"/>
        <c:auto val="1"/>
        <c:lblAlgn val="ctr"/>
        <c:lblOffset val="100"/>
        <c:noMultiLvlLbl val="0"/>
      </c:catAx>
      <c:valAx>
        <c:axId val="31750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03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9-4AF8-AC6E-8B57B9A830A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59-4AF8-AC6E-8B57B9A830A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9-4AF8-AC6E-8B57B9A83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3231"/>
        <c:axId val="31747007"/>
      </c:lineChart>
      <c:catAx>
        <c:axId val="3176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7007"/>
        <c:crosses val="autoZero"/>
        <c:auto val="1"/>
        <c:lblAlgn val="ctr"/>
        <c:lblOffset val="100"/>
        <c:noMultiLvlLbl val="0"/>
      </c:catAx>
      <c:valAx>
        <c:axId val="31747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32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EA-424E-98B3-563195EA7C6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EA-424E-98B3-563195EA7C6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EA-424E-98B3-563195EA7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9071"/>
        <c:axId val="31754911"/>
      </c:lineChart>
      <c:catAx>
        <c:axId val="31759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4911"/>
        <c:crosses val="autoZero"/>
        <c:auto val="1"/>
        <c:lblAlgn val="ctr"/>
        <c:lblOffset val="100"/>
        <c:noMultiLvlLbl val="0"/>
      </c:catAx>
      <c:valAx>
        <c:axId val="31754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90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3-4F7A-809E-0ADDF5DA76B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3-4F7A-809E-0ADDF5DA76B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F3-4F7A-809E-0ADDF5DA7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1583"/>
        <c:axId val="31761983"/>
      </c:lineChart>
      <c:catAx>
        <c:axId val="31751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1983"/>
        <c:crosses val="autoZero"/>
        <c:auto val="1"/>
        <c:lblAlgn val="ctr"/>
        <c:lblOffset val="100"/>
        <c:noMultiLvlLbl val="0"/>
      </c:catAx>
      <c:valAx>
        <c:axId val="317619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15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B-40AB-81BA-F84B282C648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B-40AB-81BA-F84B282C648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1B-40AB-81BA-F84B282C6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6991"/>
        <c:axId val="31753247"/>
      </c:lineChart>
      <c:catAx>
        <c:axId val="31756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3247"/>
        <c:crosses val="autoZero"/>
        <c:auto val="1"/>
        <c:lblAlgn val="ctr"/>
        <c:lblOffset val="100"/>
        <c:noMultiLvlLbl val="0"/>
      </c:catAx>
      <c:valAx>
        <c:axId val="31753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6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2D-B339-0B13946D98B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2D-B339-0B13946D98B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E8-462D-B339-0B13946D9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5327"/>
        <c:axId val="31746175"/>
      </c:lineChart>
      <c:catAx>
        <c:axId val="31755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6175"/>
        <c:crosses val="autoZero"/>
        <c:auto val="1"/>
        <c:lblAlgn val="ctr"/>
        <c:lblOffset val="100"/>
        <c:noMultiLvlLbl val="0"/>
      </c:catAx>
      <c:valAx>
        <c:axId val="31746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53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E8-4CDB-ADBE-57B28343A68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E8-4CDB-ADBE-57B28343A68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E8-4CDB-ADBE-57B28343A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5343"/>
        <c:axId val="31751167"/>
      </c:lineChart>
      <c:catAx>
        <c:axId val="31745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1167"/>
        <c:crosses val="autoZero"/>
        <c:auto val="1"/>
        <c:lblAlgn val="ctr"/>
        <c:lblOffset val="100"/>
        <c:noMultiLvlLbl val="0"/>
      </c:catAx>
      <c:valAx>
        <c:axId val="31751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53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C9-44C9-BF17-E914BFFFDCE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9-44C9-BF17-E914BFFFDCE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9-44C9-BF17-E914BFFFD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1999"/>
        <c:axId val="31757407"/>
      </c:lineChart>
      <c:catAx>
        <c:axId val="31751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7407"/>
        <c:crosses val="autoZero"/>
        <c:auto val="1"/>
        <c:lblAlgn val="ctr"/>
        <c:lblOffset val="100"/>
        <c:noMultiLvlLbl val="0"/>
      </c:catAx>
      <c:valAx>
        <c:axId val="31757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19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4F-47F7-B8CF-F60E0721D61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4F-47F7-B8CF-F60E0721D61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4F-47F7-B8CF-F60E0721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3647"/>
        <c:axId val="31758239"/>
      </c:lineChart>
      <c:catAx>
        <c:axId val="31763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8239"/>
        <c:crosses val="autoZero"/>
        <c:auto val="1"/>
        <c:lblAlgn val="ctr"/>
        <c:lblOffset val="100"/>
        <c:noMultiLvlLbl val="0"/>
      </c:catAx>
      <c:valAx>
        <c:axId val="31758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36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9-49EB-BBAA-F498D09C285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9-49EB-BBAA-F498D09C285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9-49EB-BBAA-F498D09C2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2415"/>
        <c:axId val="31744095"/>
      </c:lineChart>
      <c:catAx>
        <c:axId val="31752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4095"/>
        <c:crosses val="autoZero"/>
        <c:auto val="1"/>
        <c:lblAlgn val="ctr"/>
        <c:lblOffset val="100"/>
        <c:noMultiLvlLbl val="0"/>
      </c:catAx>
      <c:valAx>
        <c:axId val="317440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24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3-4AD3-8678-2B9CB5CB753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3-4AD3-8678-2B9CB5CB753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3-4AD3-8678-2B9CB5CB7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58655"/>
        <c:axId val="31761567"/>
      </c:lineChart>
      <c:catAx>
        <c:axId val="31758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1567"/>
        <c:crosses val="autoZero"/>
        <c:auto val="1"/>
        <c:lblAlgn val="ctr"/>
        <c:lblOffset val="100"/>
        <c:noMultiLvlLbl val="0"/>
      </c:catAx>
      <c:valAx>
        <c:axId val="31761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86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F4-43DF-9156-27F9A762DD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4-43DF-9156-27F9A762DD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F4-43DF-9156-27F9A762D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4063"/>
        <c:axId val="31762399"/>
      </c:lineChart>
      <c:catAx>
        <c:axId val="31764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2399"/>
        <c:crosses val="autoZero"/>
        <c:auto val="1"/>
        <c:lblAlgn val="ctr"/>
        <c:lblOffset val="100"/>
        <c:noMultiLvlLbl val="0"/>
      </c:catAx>
      <c:valAx>
        <c:axId val="317623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40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A-4FFD-A678-DF598A50FDA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A-4FFD-A678-DF598A50FDA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AA-4FFD-A678-DF598A50F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6559"/>
        <c:axId val="31759903"/>
      </c:lineChart>
      <c:catAx>
        <c:axId val="31766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59903"/>
        <c:crosses val="autoZero"/>
        <c:auto val="1"/>
        <c:lblAlgn val="ctr"/>
        <c:lblOffset val="100"/>
        <c:noMultiLvlLbl val="0"/>
      </c:catAx>
      <c:valAx>
        <c:axId val="31759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65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42FB-A6A3-425C6852B6E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38-42FB-A6A3-425C6852B6E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38-42FB-A6A3-425C6852B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6591"/>
        <c:axId val="31761151"/>
      </c:lineChart>
      <c:catAx>
        <c:axId val="31746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1151"/>
        <c:crosses val="autoZero"/>
        <c:auto val="1"/>
        <c:lblAlgn val="ctr"/>
        <c:lblOffset val="100"/>
        <c:noMultiLvlLbl val="0"/>
      </c:catAx>
      <c:valAx>
        <c:axId val="31761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65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9-40AD-83F8-B990235F5ED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B9-40AD-83F8-B990235F5ED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B9-40AD-83F8-B990235F5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4479"/>
        <c:axId val="31764895"/>
      </c:lineChart>
      <c:catAx>
        <c:axId val="31764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4895"/>
        <c:crosses val="autoZero"/>
        <c:auto val="1"/>
        <c:lblAlgn val="ctr"/>
        <c:lblOffset val="100"/>
        <c:noMultiLvlLbl val="0"/>
      </c:catAx>
      <c:valAx>
        <c:axId val="31764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44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8-4027-83E0-BCFB78FA5C9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28-4027-83E0-BCFB78FA5C9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28-4027-83E0-BCFB78FA5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5311"/>
        <c:axId val="31747423"/>
      </c:lineChart>
      <c:catAx>
        <c:axId val="317653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7423"/>
        <c:crosses val="autoZero"/>
        <c:auto val="1"/>
        <c:lblAlgn val="ctr"/>
        <c:lblOffset val="100"/>
        <c:noMultiLvlLbl val="0"/>
      </c:catAx>
      <c:valAx>
        <c:axId val="317474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53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8-4903-8A20-B66363DFDA4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8-4903-8A20-B66363DFDA4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18-4903-8A20-B66363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7807"/>
        <c:axId val="31768223"/>
      </c:lineChart>
      <c:catAx>
        <c:axId val="31767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8223"/>
        <c:crosses val="autoZero"/>
        <c:auto val="1"/>
        <c:lblAlgn val="ctr"/>
        <c:lblOffset val="100"/>
        <c:noMultiLvlLbl val="0"/>
      </c:catAx>
      <c:valAx>
        <c:axId val="31768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78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2-4825-9184-09207ACAC9E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2-4825-9184-09207ACAC9E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2-4825-9184-09207ACAC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69055"/>
        <c:axId val="31769471"/>
      </c:lineChart>
      <c:catAx>
        <c:axId val="31769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9471"/>
        <c:crosses val="autoZero"/>
        <c:auto val="1"/>
        <c:lblAlgn val="ctr"/>
        <c:lblOffset val="100"/>
        <c:noMultiLvlLbl val="0"/>
      </c:catAx>
      <c:valAx>
        <c:axId val="31769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690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C-4E8F-B645-36DCBA721C8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C-4E8F-B645-36DCBA721C8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4C-4E8F-B645-36DCBA721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4511"/>
        <c:axId val="31744927"/>
      </c:lineChart>
      <c:catAx>
        <c:axId val="31744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4927"/>
        <c:crosses val="autoZero"/>
        <c:auto val="1"/>
        <c:lblAlgn val="ctr"/>
        <c:lblOffset val="100"/>
        <c:noMultiLvlLbl val="0"/>
      </c:catAx>
      <c:valAx>
        <c:axId val="31744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45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B-4D88-8EB3-F1A83CBA491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B-4D88-8EB3-F1A83CBA491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2B-4D88-8EB3-F1A83CBA4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9503"/>
        <c:axId val="31748671"/>
      </c:lineChart>
      <c:catAx>
        <c:axId val="31749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8671"/>
        <c:crosses val="autoZero"/>
        <c:auto val="1"/>
        <c:lblAlgn val="ctr"/>
        <c:lblOffset val="100"/>
        <c:noMultiLvlLbl val="0"/>
      </c:catAx>
      <c:valAx>
        <c:axId val="317486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95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A-40CC-A174-069C83EBB9B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2A-40CC-A174-069C83EBB9B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A-40CC-A174-069C83EBB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75295"/>
        <c:axId val="31772383"/>
      </c:lineChart>
      <c:catAx>
        <c:axId val="3177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2383"/>
        <c:crosses val="autoZero"/>
        <c:auto val="1"/>
        <c:lblAlgn val="ctr"/>
        <c:lblOffset val="100"/>
        <c:noMultiLvlLbl val="0"/>
      </c:catAx>
      <c:valAx>
        <c:axId val="31772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52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8-43F4-BFEE-8B2960ACD93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38-43F4-BFEE-8B2960ACD93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38-43F4-BFEE-8B2960ACD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73215"/>
        <c:axId val="31770719"/>
      </c:lineChart>
      <c:catAx>
        <c:axId val="31773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0719"/>
        <c:crosses val="autoZero"/>
        <c:auto val="1"/>
        <c:lblAlgn val="ctr"/>
        <c:lblOffset val="100"/>
        <c:noMultiLvlLbl val="0"/>
      </c:catAx>
      <c:valAx>
        <c:axId val="317707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32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27-453F-8A01-E4E22C70AF3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27-453F-8A01-E4E22C70AF3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27-453F-8A01-E4E22C70A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76127"/>
        <c:axId val="31774047"/>
      </c:lineChart>
      <c:catAx>
        <c:axId val="31776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4047"/>
        <c:crosses val="autoZero"/>
        <c:auto val="1"/>
        <c:lblAlgn val="ctr"/>
        <c:lblOffset val="100"/>
        <c:noMultiLvlLbl val="0"/>
      </c:catAx>
      <c:valAx>
        <c:axId val="31774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612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FD-42E7-B488-0560964F2DE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FD-42E7-B488-0560964F2DE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FD-42E7-B488-0560964F2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71551"/>
        <c:axId val="31771967"/>
      </c:lineChart>
      <c:catAx>
        <c:axId val="31771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1967"/>
        <c:crosses val="autoZero"/>
        <c:auto val="1"/>
        <c:lblAlgn val="ctr"/>
        <c:lblOffset val="100"/>
        <c:noMultiLvlLbl val="0"/>
      </c:catAx>
      <c:valAx>
        <c:axId val="31771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15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2-48F8-ABC3-205F0D82B24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2-48F8-ABC3-205F0D82B24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32-48F8-ABC3-205F0D82B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74879"/>
        <c:axId val="31749919"/>
      </c:lineChart>
      <c:catAx>
        <c:axId val="3177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49919"/>
        <c:crosses val="autoZero"/>
        <c:auto val="1"/>
        <c:lblAlgn val="ctr"/>
        <c:lblOffset val="100"/>
        <c:noMultiLvlLbl val="0"/>
      </c:catAx>
      <c:valAx>
        <c:axId val="31749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748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96-4AF6-887A-7141FD504F1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6-4AF6-887A-7141FD504F1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6-4AF6-887A-7141FD50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0975"/>
        <c:axId val="33349727"/>
      </c:lineChart>
      <c:catAx>
        <c:axId val="33350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9727"/>
        <c:crosses val="autoZero"/>
        <c:auto val="1"/>
        <c:lblAlgn val="ctr"/>
        <c:lblOffset val="100"/>
        <c:noMultiLvlLbl val="0"/>
      </c:catAx>
      <c:valAx>
        <c:axId val="33349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509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7-4801-82EE-9E6747FE23E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7-4801-82EE-9E6747FE23E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07-4801-82EE-9E6747FE2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1807"/>
        <c:axId val="33349311"/>
      </c:lineChart>
      <c:catAx>
        <c:axId val="3335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9311"/>
        <c:crosses val="autoZero"/>
        <c:auto val="1"/>
        <c:lblAlgn val="ctr"/>
        <c:lblOffset val="100"/>
        <c:noMultiLvlLbl val="0"/>
      </c:catAx>
      <c:valAx>
        <c:axId val="33349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518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C-4583-AAB3-B9724F7AEBB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C-4583-AAB3-B9724F7AEBB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BC-4583-AAB3-B9724F7AE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0559"/>
        <c:axId val="33351391"/>
      </c:lineChart>
      <c:catAx>
        <c:axId val="3335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51391"/>
        <c:crosses val="autoZero"/>
        <c:auto val="1"/>
        <c:lblAlgn val="ctr"/>
        <c:lblOffset val="100"/>
        <c:noMultiLvlLbl val="0"/>
      </c:catAx>
      <c:valAx>
        <c:axId val="333513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505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9B-41FC-813E-9BA2FD1E42B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9B-41FC-813E-9BA2FD1E42B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9B-41FC-813E-9BA2FD1E4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2639"/>
        <c:axId val="33347231"/>
      </c:lineChart>
      <c:catAx>
        <c:axId val="333526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7231"/>
        <c:crosses val="autoZero"/>
        <c:auto val="1"/>
        <c:lblAlgn val="ctr"/>
        <c:lblOffset val="100"/>
        <c:noMultiLvlLbl val="0"/>
      </c:catAx>
      <c:valAx>
        <c:axId val="33347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526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D-4911-9DDC-81D87920C26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D-4911-9DDC-81D87920C26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D-4911-9DDC-81D87920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8063"/>
        <c:axId val="33331839"/>
      </c:lineChart>
      <c:catAx>
        <c:axId val="33348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1839"/>
        <c:crosses val="autoZero"/>
        <c:auto val="1"/>
        <c:lblAlgn val="ctr"/>
        <c:lblOffset val="100"/>
        <c:noMultiLvlLbl val="0"/>
      </c:catAx>
      <c:valAx>
        <c:axId val="33331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80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5-4229-94F2-9C987E76C43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15-4229-94F2-9C987E76C43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15-4229-94F2-9C987E76C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2687"/>
        <c:axId val="33328511"/>
      </c:lineChart>
      <c:catAx>
        <c:axId val="33322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8511"/>
        <c:crosses val="autoZero"/>
        <c:auto val="1"/>
        <c:lblAlgn val="ctr"/>
        <c:lblOffset val="100"/>
        <c:noMultiLvlLbl val="0"/>
      </c:catAx>
      <c:valAx>
        <c:axId val="333285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2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09-4302-A621-CF199E6CB49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9-4302-A621-CF199E6CB49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9-4302-A621-CF199E6CB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9759"/>
        <c:axId val="33326847"/>
      </c:lineChart>
      <c:catAx>
        <c:axId val="3332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6847"/>
        <c:crosses val="autoZero"/>
        <c:auto val="1"/>
        <c:lblAlgn val="ctr"/>
        <c:lblOffset val="100"/>
        <c:noMultiLvlLbl val="0"/>
      </c:catAx>
      <c:valAx>
        <c:axId val="333268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97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9-45DC-99FD-E0068368965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9-45DC-99FD-E0068368965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9-45DC-99FD-E00683689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1423"/>
        <c:axId val="33328927"/>
      </c:lineChart>
      <c:catAx>
        <c:axId val="33331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8927"/>
        <c:crosses val="autoZero"/>
        <c:auto val="1"/>
        <c:lblAlgn val="ctr"/>
        <c:lblOffset val="100"/>
        <c:noMultiLvlLbl val="0"/>
      </c:catAx>
      <c:valAx>
        <c:axId val="33328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14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8-4F6C-A780-5216C5BCC97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8-4F6C-A780-5216C5BCC97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8-4F6C-A780-5216C5BCC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0607"/>
        <c:axId val="33323103"/>
      </c:lineChart>
      <c:catAx>
        <c:axId val="33320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3103"/>
        <c:crosses val="autoZero"/>
        <c:auto val="1"/>
        <c:lblAlgn val="ctr"/>
        <c:lblOffset val="100"/>
        <c:noMultiLvlLbl val="0"/>
      </c:catAx>
      <c:valAx>
        <c:axId val="333231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0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5F-455D-AE2A-4C31CF13875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5F-455D-AE2A-4C31CF13875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5F-455D-AE2A-4C31CF138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1407"/>
        <c:axId val="33325599"/>
      </c:lineChart>
      <c:catAx>
        <c:axId val="33341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5599"/>
        <c:crosses val="autoZero"/>
        <c:auto val="1"/>
        <c:lblAlgn val="ctr"/>
        <c:lblOffset val="100"/>
        <c:noMultiLvlLbl val="0"/>
      </c:catAx>
      <c:valAx>
        <c:axId val="33325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1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D-4818-BD67-BF7E1D53344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5D-4818-BD67-BF7E1D53344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5D-4818-BD67-BF7E1D533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3071"/>
        <c:axId val="33321023"/>
      </c:lineChart>
      <c:catAx>
        <c:axId val="33343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1023"/>
        <c:crosses val="autoZero"/>
        <c:auto val="1"/>
        <c:lblAlgn val="ctr"/>
        <c:lblOffset val="100"/>
        <c:noMultiLvlLbl val="0"/>
      </c:catAx>
      <c:valAx>
        <c:axId val="333210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30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E-44B8-ABE0-EB6651B6737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6E-44B8-ABE0-EB6651B6737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6E-44B8-ABE0-EB6651B67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2671"/>
        <c:axId val="33339327"/>
      </c:lineChart>
      <c:catAx>
        <c:axId val="33332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9327"/>
        <c:crosses val="autoZero"/>
        <c:auto val="1"/>
        <c:lblAlgn val="ctr"/>
        <c:lblOffset val="100"/>
        <c:noMultiLvlLbl val="0"/>
      </c:catAx>
      <c:valAx>
        <c:axId val="3333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26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7-4465-AE1C-315D2B370D0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7-4465-AE1C-315D2B370D0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77-4465-AE1C-315D2B370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9343"/>
        <c:axId val="33327263"/>
      </c:lineChart>
      <c:catAx>
        <c:axId val="33329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7263"/>
        <c:crosses val="autoZero"/>
        <c:auto val="1"/>
        <c:lblAlgn val="ctr"/>
        <c:lblOffset val="100"/>
        <c:noMultiLvlLbl val="0"/>
      </c:catAx>
      <c:valAx>
        <c:axId val="333272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93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6-406E-B697-5B97D41CAFF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6-406E-B697-5B97D41CAFF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6-406E-B697-5B97D41CA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1439"/>
        <c:axId val="33330591"/>
      </c:lineChart>
      <c:catAx>
        <c:axId val="33321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0591"/>
        <c:crosses val="autoZero"/>
        <c:auto val="1"/>
        <c:lblAlgn val="ctr"/>
        <c:lblOffset val="100"/>
        <c:noMultiLvlLbl val="0"/>
      </c:catAx>
      <c:valAx>
        <c:axId val="333305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14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51-4820-B582-2FAC6FA585B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51-4820-B582-2FAC6FA585B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51-4820-B582-2FAC6FA58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0175"/>
        <c:axId val="33345567"/>
      </c:lineChart>
      <c:catAx>
        <c:axId val="33330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5567"/>
        <c:crosses val="autoZero"/>
        <c:auto val="1"/>
        <c:lblAlgn val="ctr"/>
        <c:lblOffset val="100"/>
        <c:noMultiLvlLbl val="0"/>
      </c:catAx>
      <c:valAx>
        <c:axId val="3334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01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7-498B-9F8C-94B35E0954B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7-498B-9F8C-94B35E0954B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07-498B-9F8C-94B35E09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3503"/>
        <c:axId val="33338079"/>
      </c:lineChart>
      <c:catAx>
        <c:axId val="33333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8079"/>
        <c:crosses val="autoZero"/>
        <c:auto val="1"/>
        <c:lblAlgn val="ctr"/>
        <c:lblOffset val="100"/>
        <c:noMultiLvlLbl val="0"/>
      </c:catAx>
      <c:valAx>
        <c:axId val="33338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35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522-9C6F-1051D84CF74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522-9C6F-1051D84CF74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C5-4522-9C6F-1051D84CF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22271"/>
        <c:axId val="33344735"/>
      </c:lineChart>
      <c:catAx>
        <c:axId val="3332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4735"/>
        <c:crosses val="autoZero"/>
        <c:auto val="1"/>
        <c:lblAlgn val="ctr"/>
        <c:lblOffset val="100"/>
        <c:noMultiLvlLbl val="0"/>
      </c:catAx>
      <c:valAx>
        <c:axId val="33344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22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91-4881-BFB4-A24BD17238A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91-4881-BFB4-A24BD17238A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91-4881-BFB4-A24BD1723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3087"/>
        <c:axId val="33333919"/>
      </c:lineChart>
      <c:catAx>
        <c:axId val="3333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3919"/>
        <c:crosses val="autoZero"/>
        <c:auto val="1"/>
        <c:lblAlgn val="ctr"/>
        <c:lblOffset val="100"/>
        <c:noMultiLvlLbl val="0"/>
      </c:catAx>
      <c:valAx>
        <c:axId val="33333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30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1-49C4-A524-328A2ED6803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91-49C4-A524-328A2ED6803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91-49C4-A524-328A2ED68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5983"/>
        <c:axId val="33334751"/>
      </c:lineChart>
      <c:catAx>
        <c:axId val="3334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4751"/>
        <c:crosses val="autoZero"/>
        <c:auto val="1"/>
        <c:lblAlgn val="ctr"/>
        <c:lblOffset val="100"/>
        <c:noMultiLvlLbl val="0"/>
      </c:catAx>
      <c:valAx>
        <c:axId val="33334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59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7-49F0-B5E4-3538542ACFB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B7-49F0-B5E4-3538542ACFB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B7-49F0-B5E4-3538542A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5167"/>
        <c:axId val="33335583"/>
      </c:lineChart>
      <c:catAx>
        <c:axId val="33335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5583"/>
        <c:crosses val="autoZero"/>
        <c:auto val="1"/>
        <c:lblAlgn val="ctr"/>
        <c:lblOffset val="100"/>
        <c:noMultiLvlLbl val="0"/>
      </c:catAx>
      <c:valAx>
        <c:axId val="33335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51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CF-4E27-B0DF-4F9AD752D8E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CF-4E27-B0DF-4F9AD752D8E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CF-4E27-B0DF-4F9AD752D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8495"/>
        <c:axId val="33336415"/>
      </c:lineChart>
      <c:catAx>
        <c:axId val="33338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6415"/>
        <c:crosses val="autoZero"/>
        <c:auto val="1"/>
        <c:lblAlgn val="ctr"/>
        <c:lblOffset val="100"/>
        <c:noMultiLvlLbl val="0"/>
      </c:catAx>
      <c:valAx>
        <c:axId val="3333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84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7A-4B8E-B163-E17E131FB73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A-4B8E-B163-E17E131FB73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A-4B8E-B163-E17E131F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1823"/>
        <c:axId val="33336831"/>
      </c:lineChart>
      <c:catAx>
        <c:axId val="33341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36831"/>
        <c:crosses val="autoZero"/>
        <c:auto val="1"/>
        <c:lblAlgn val="ctr"/>
        <c:lblOffset val="100"/>
        <c:noMultiLvlLbl val="0"/>
      </c:catAx>
      <c:valAx>
        <c:axId val="33336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1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10-458F-90CE-28F6C753A03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0-458F-90CE-28F6C753A03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10-458F-90CE-28F6C753A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0159"/>
        <c:axId val="33340575"/>
      </c:lineChart>
      <c:catAx>
        <c:axId val="3334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0575"/>
        <c:crosses val="autoZero"/>
        <c:auto val="1"/>
        <c:lblAlgn val="ctr"/>
        <c:lblOffset val="100"/>
        <c:noMultiLvlLbl val="0"/>
      </c:catAx>
      <c:valAx>
        <c:axId val="33340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01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7ED-B959-32A02F82A54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7ED-B959-32A02F82A54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7ED-B959-32A02F82A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0991"/>
        <c:axId val="33342239"/>
      </c:lineChart>
      <c:catAx>
        <c:axId val="3334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2239"/>
        <c:crosses val="autoZero"/>
        <c:auto val="1"/>
        <c:lblAlgn val="ctr"/>
        <c:lblOffset val="100"/>
        <c:noMultiLvlLbl val="0"/>
      </c:catAx>
      <c:valAx>
        <c:axId val="33342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0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3-4F29-9AF3-4D34078AB7E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3-4F29-9AF3-4D34078AB7E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3-4F29-9AF3-4D34078AB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3487"/>
        <c:axId val="33344319"/>
      </c:lineChart>
      <c:catAx>
        <c:axId val="33343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4319"/>
        <c:crosses val="autoZero"/>
        <c:auto val="1"/>
        <c:lblAlgn val="ctr"/>
        <c:lblOffset val="100"/>
        <c:noMultiLvlLbl val="0"/>
      </c:catAx>
      <c:valAx>
        <c:axId val="3334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34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8-417D-A473-2C28BCAEF44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08-417D-A473-2C28BCAEF44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08-417D-A473-2C28BCAEF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46399"/>
        <c:axId val="33346815"/>
      </c:lineChart>
      <c:catAx>
        <c:axId val="33346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6815"/>
        <c:crosses val="autoZero"/>
        <c:auto val="1"/>
        <c:lblAlgn val="ctr"/>
        <c:lblOffset val="100"/>
        <c:noMultiLvlLbl val="0"/>
      </c:catAx>
      <c:valAx>
        <c:axId val="3334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463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4E-4221-AE10-631D1530874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4E-4221-AE10-631D1530874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4E-4221-AE10-631D15308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58159"/>
        <c:axId val="793737775"/>
      </c:lineChart>
      <c:catAx>
        <c:axId val="793758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7775"/>
        <c:crosses val="autoZero"/>
        <c:auto val="1"/>
        <c:lblAlgn val="ctr"/>
        <c:lblOffset val="100"/>
        <c:noMultiLvlLbl val="0"/>
      </c:catAx>
      <c:valAx>
        <c:axId val="793737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581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C-4A7F-A97B-244F6C1155A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C-4A7F-A97B-244F6C1155A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C-4A7F-A97B-244F6C115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42351"/>
        <c:axId val="793741103"/>
      </c:lineChart>
      <c:catAx>
        <c:axId val="793742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1103"/>
        <c:crosses val="autoZero"/>
        <c:auto val="1"/>
        <c:lblAlgn val="ctr"/>
        <c:lblOffset val="100"/>
        <c:noMultiLvlLbl val="0"/>
      </c:catAx>
      <c:valAx>
        <c:axId val="7937411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23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7-475D-9462-0297FC92744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7-475D-9462-0297FC92744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87-475D-9462-0297FC92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42767"/>
        <c:axId val="793761071"/>
      </c:lineChart>
      <c:catAx>
        <c:axId val="793742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61071"/>
        <c:crosses val="autoZero"/>
        <c:auto val="1"/>
        <c:lblAlgn val="ctr"/>
        <c:lblOffset val="100"/>
        <c:noMultiLvlLbl val="0"/>
      </c:catAx>
      <c:valAx>
        <c:axId val="7937610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27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8-46E3-81C7-7D239ED5488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A8-46E3-81C7-7D239ED5488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A8-46E3-81C7-7D239ED54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50671"/>
        <c:axId val="793758575"/>
      </c:lineChart>
      <c:catAx>
        <c:axId val="793750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58575"/>
        <c:crosses val="autoZero"/>
        <c:auto val="1"/>
        <c:lblAlgn val="ctr"/>
        <c:lblOffset val="100"/>
        <c:noMultiLvlLbl val="0"/>
      </c:catAx>
      <c:valAx>
        <c:axId val="793758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506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C-41FF-95C4-798DF2BD810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C-41FF-95C4-798DF2BD810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4C-41FF-95C4-798DF2BD8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39023"/>
        <c:axId val="793737359"/>
      </c:lineChart>
      <c:catAx>
        <c:axId val="793739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7359"/>
        <c:crosses val="autoZero"/>
        <c:auto val="1"/>
        <c:lblAlgn val="ctr"/>
        <c:lblOffset val="100"/>
        <c:noMultiLvlLbl val="0"/>
      </c:catAx>
      <c:valAx>
        <c:axId val="793737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90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3-46C4-AE72-FC9DCE20292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83-46C4-AE72-FC9DCE20292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83-46C4-AE72-FC9DCE20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48175"/>
        <c:axId val="793738607"/>
      </c:lineChart>
      <c:catAx>
        <c:axId val="793748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8607"/>
        <c:crosses val="autoZero"/>
        <c:auto val="1"/>
        <c:lblAlgn val="ctr"/>
        <c:lblOffset val="100"/>
        <c:noMultiLvlLbl val="0"/>
      </c:catAx>
      <c:valAx>
        <c:axId val="793738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81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2-4917-9E1D-0D12E9C28AA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42-4917-9E1D-0D12E9C28AA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42-4917-9E1D-0D12E9C2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52335"/>
        <c:axId val="793745679"/>
      </c:lineChart>
      <c:catAx>
        <c:axId val="793752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5679"/>
        <c:crosses val="autoZero"/>
        <c:auto val="1"/>
        <c:lblAlgn val="ctr"/>
        <c:lblOffset val="100"/>
        <c:noMultiLvlLbl val="0"/>
      </c:catAx>
      <c:valAx>
        <c:axId val="793745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523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8-435F-AAE1-3E7388251BC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58-435F-AAE1-3E7388251BC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58-435F-AAE1-3E7388251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59407"/>
        <c:axId val="793741935"/>
      </c:lineChart>
      <c:catAx>
        <c:axId val="793759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1935"/>
        <c:crosses val="autoZero"/>
        <c:auto val="1"/>
        <c:lblAlgn val="ctr"/>
        <c:lblOffset val="100"/>
        <c:noMultiLvlLbl val="0"/>
      </c:catAx>
      <c:valAx>
        <c:axId val="793741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594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A8-4E7F-858E-B5BDF13D8C7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A8-4E7F-858E-B5BDF13D8C7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A8-4E7F-858E-B5BDF13D8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39439"/>
        <c:axId val="793747759"/>
      </c:lineChart>
      <c:catAx>
        <c:axId val="793739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7759"/>
        <c:crosses val="autoZero"/>
        <c:auto val="1"/>
        <c:lblAlgn val="ctr"/>
        <c:lblOffset val="100"/>
        <c:noMultiLvlLbl val="0"/>
      </c:catAx>
      <c:valAx>
        <c:axId val="7937477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94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9-4B5D-AB2E-6B551183EE18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9-4B5D-AB2E-6B551183EE18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D9-4B5D-AB2E-6B551183E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48591"/>
        <c:axId val="793738191"/>
      </c:lineChart>
      <c:catAx>
        <c:axId val="793748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38191"/>
        <c:crosses val="autoZero"/>
        <c:auto val="1"/>
        <c:lblAlgn val="ctr"/>
        <c:lblOffset val="100"/>
        <c:noMultiLvlLbl val="0"/>
      </c:catAx>
      <c:valAx>
        <c:axId val="7937381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85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F-4593-B8BD-643C33CDD5C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8F-4593-B8BD-643C33CDD5C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8F-4593-B8BD-643C33CDD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740687"/>
        <c:axId val="793749839"/>
      </c:lineChart>
      <c:catAx>
        <c:axId val="793740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9839"/>
        <c:crosses val="autoZero"/>
        <c:auto val="1"/>
        <c:lblAlgn val="ctr"/>
        <c:lblOffset val="100"/>
        <c:noMultiLvlLbl val="0"/>
      </c:catAx>
      <c:valAx>
        <c:axId val="793749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3740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94-47F2-B4F7-32E75923385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A94-47F2-B4F7-32E75923385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A94-47F2-B4F7-32E759233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950335"/>
        <c:axId val="638948255"/>
      </c:lineChart>
      <c:catAx>
        <c:axId val="638950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948255"/>
        <c:crosses val="autoZero"/>
        <c:auto val="1"/>
        <c:lblAlgn val="ctr"/>
        <c:lblOffset val="100"/>
        <c:noMultiLvlLbl val="0"/>
      </c:catAx>
      <c:valAx>
        <c:axId val="638948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9503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D9-4CAC-A492-D51C4DBE04E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D9-4CAC-A492-D51C4DBE04E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D9-4CAC-A492-D51C4DBE0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69439"/>
        <c:axId val="1047855711"/>
      </c:lineChart>
      <c:catAx>
        <c:axId val="1047869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55711"/>
        <c:crosses val="autoZero"/>
        <c:auto val="1"/>
        <c:lblAlgn val="ctr"/>
        <c:lblOffset val="100"/>
        <c:noMultiLvlLbl val="0"/>
      </c:catAx>
      <c:valAx>
        <c:axId val="10478557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694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24-4629-8D83-D5A21A97031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24-4629-8D83-D5A21A97031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24-4629-8D83-D5A21A970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70687"/>
        <c:axId val="1047871519"/>
      </c:lineChart>
      <c:catAx>
        <c:axId val="1047870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1519"/>
        <c:crosses val="autoZero"/>
        <c:auto val="1"/>
        <c:lblAlgn val="ctr"/>
        <c:lblOffset val="100"/>
        <c:noMultiLvlLbl val="0"/>
      </c:catAx>
      <c:valAx>
        <c:axId val="1047871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068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C9-47DA-A60F-02E83C2D9E7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C9-47DA-A60F-02E83C2D9E7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C9-47DA-A60F-02E83C2D9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78175"/>
        <c:axId val="1047872351"/>
      </c:lineChart>
      <c:catAx>
        <c:axId val="1047878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2351"/>
        <c:crosses val="autoZero"/>
        <c:auto val="1"/>
        <c:lblAlgn val="ctr"/>
        <c:lblOffset val="100"/>
        <c:noMultiLvlLbl val="0"/>
      </c:catAx>
      <c:valAx>
        <c:axId val="1047872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817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D2-496E-A023-7F7089A6570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D2-496E-A023-7F7089A6570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7D2-496E-A023-7F7089A65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73183"/>
        <c:axId val="1047873599"/>
      </c:lineChart>
      <c:catAx>
        <c:axId val="1047873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3599"/>
        <c:crosses val="autoZero"/>
        <c:auto val="1"/>
        <c:lblAlgn val="ctr"/>
        <c:lblOffset val="100"/>
        <c:noMultiLvlLbl val="0"/>
      </c:catAx>
      <c:valAx>
        <c:axId val="1047873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31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F4-4F87-9F1C-C692B70BCF6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F4-4F87-9F1C-C692B70BCF6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F4-4F87-9F1C-C692B70BC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78591"/>
        <c:axId val="1047879007"/>
      </c:lineChart>
      <c:catAx>
        <c:axId val="1047878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9007"/>
        <c:crosses val="autoZero"/>
        <c:auto val="1"/>
        <c:lblAlgn val="ctr"/>
        <c:lblOffset val="100"/>
        <c:noMultiLvlLbl val="0"/>
      </c:catAx>
      <c:valAx>
        <c:axId val="104787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785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EDE-4024-84B0-E83C5E7FB19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DE-4024-84B0-E83C5E7FB19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EDE-4024-84B0-E83C5E7FB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0671"/>
        <c:axId val="1047881087"/>
      </c:lineChart>
      <c:catAx>
        <c:axId val="1047880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1087"/>
        <c:crosses val="autoZero"/>
        <c:auto val="1"/>
        <c:lblAlgn val="ctr"/>
        <c:lblOffset val="100"/>
        <c:noMultiLvlLbl val="0"/>
      </c:catAx>
      <c:valAx>
        <c:axId val="10478810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06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B3-4B04-B1DA-BE90F5800A1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B3-4B04-B1DA-BE90F5800A1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B3-4B04-B1DA-BE90F5800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3583"/>
        <c:axId val="1047888575"/>
      </c:lineChart>
      <c:catAx>
        <c:axId val="1047883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8575"/>
        <c:crosses val="autoZero"/>
        <c:auto val="1"/>
        <c:lblAlgn val="ctr"/>
        <c:lblOffset val="100"/>
        <c:noMultiLvlLbl val="0"/>
      </c:catAx>
      <c:valAx>
        <c:axId val="1047888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35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EB-460E-86B6-D3144928217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EB-460E-86B6-D3144928217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EB-460E-86B6-D31449282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3167"/>
        <c:axId val="1047907295"/>
      </c:lineChart>
      <c:catAx>
        <c:axId val="1047883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7295"/>
        <c:crosses val="autoZero"/>
        <c:auto val="1"/>
        <c:lblAlgn val="ctr"/>
        <c:lblOffset val="100"/>
        <c:noMultiLvlLbl val="0"/>
      </c:catAx>
      <c:valAx>
        <c:axId val="10479072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31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C4-4F7C-8D89-29D519F58F6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C4-4F7C-8D89-29D519F58F6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0C4-4F7C-8D89-29D519F58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5647"/>
        <c:axId val="1047902719"/>
      </c:lineChart>
      <c:catAx>
        <c:axId val="1047895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2719"/>
        <c:crosses val="autoZero"/>
        <c:auto val="1"/>
        <c:lblAlgn val="ctr"/>
        <c:lblOffset val="100"/>
        <c:noMultiLvlLbl val="0"/>
      </c:catAx>
      <c:valAx>
        <c:axId val="10479027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56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F4-4E7E-92CA-6A77E3E277E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6F4-4E7E-92CA-6A77E3E277E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6F4-4E7E-92CA-6A77E3E27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8991"/>
        <c:axId val="1047904383"/>
      </c:lineChart>
      <c:catAx>
        <c:axId val="1047888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4383"/>
        <c:crosses val="autoZero"/>
        <c:auto val="1"/>
        <c:lblAlgn val="ctr"/>
        <c:lblOffset val="100"/>
        <c:noMultiLvlLbl val="0"/>
      </c:catAx>
      <c:valAx>
        <c:axId val="1047904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8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23-42DE-A664-F351F41F20A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23-42DE-A664-F351F41F20A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223-42DE-A664-F351F41F2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4415"/>
        <c:axId val="1047889407"/>
      </c:lineChart>
      <c:catAx>
        <c:axId val="1047884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9407"/>
        <c:crosses val="autoZero"/>
        <c:auto val="1"/>
        <c:lblAlgn val="ctr"/>
        <c:lblOffset val="100"/>
        <c:noMultiLvlLbl val="0"/>
      </c:catAx>
      <c:valAx>
        <c:axId val="1047889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44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27-447F-A416-CAAEFAED20E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27-447F-A416-CAAEFAED20E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27-447F-A416-CAAEFAED2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2319"/>
        <c:axId val="1047890655"/>
      </c:lineChart>
      <c:catAx>
        <c:axId val="1047892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0655"/>
        <c:crosses val="autoZero"/>
        <c:auto val="1"/>
        <c:lblAlgn val="ctr"/>
        <c:lblOffset val="100"/>
        <c:noMultiLvlLbl val="0"/>
      </c:catAx>
      <c:valAx>
        <c:axId val="1047890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231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3BB-4318-8FC6-1193DFC5954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3BB-4318-8FC6-1193DFC5954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3BB-4318-8FC6-1193DFC5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01471"/>
        <c:axId val="1047903135"/>
      </c:lineChart>
      <c:catAx>
        <c:axId val="1047901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3135"/>
        <c:crosses val="autoZero"/>
        <c:auto val="1"/>
        <c:lblAlgn val="ctr"/>
        <c:lblOffset val="100"/>
        <c:noMultiLvlLbl val="0"/>
      </c:catAx>
      <c:valAx>
        <c:axId val="10479031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14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16-404F-9E8F-514DF51DF87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F16-404F-9E8F-514DF51DF87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F16-404F-9E8F-514DF51D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6911"/>
        <c:axId val="1047900639"/>
      </c:lineChart>
      <c:catAx>
        <c:axId val="1047886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0639"/>
        <c:crosses val="autoZero"/>
        <c:auto val="1"/>
        <c:lblAlgn val="ctr"/>
        <c:lblOffset val="100"/>
        <c:noMultiLvlLbl val="0"/>
      </c:catAx>
      <c:valAx>
        <c:axId val="104790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69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17-4363-8870-EC0E4E9C36C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17-4363-8870-EC0E4E9C36C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17-4363-8870-EC0E4E9C3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05215"/>
        <c:axId val="1047883999"/>
      </c:lineChart>
      <c:catAx>
        <c:axId val="1047905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3999"/>
        <c:crosses val="autoZero"/>
        <c:auto val="1"/>
        <c:lblAlgn val="ctr"/>
        <c:lblOffset val="100"/>
        <c:noMultiLvlLbl val="0"/>
      </c:catAx>
      <c:valAx>
        <c:axId val="10478839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52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8A7-46FC-B459-8D07061CDAF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8A7-46FC-B459-8D07061CDAF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8A7-46FC-B459-8D07061C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4831"/>
        <c:axId val="1047885663"/>
      </c:lineChart>
      <c:catAx>
        <c:axId val="1047884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5663"/>
        <c:crosses val="autoZero"/>
        <c:auto val="1"/>
        <c:lblAlgn val="ctr"/>
        <c:lblOffset val="100"/>
        <c:noMultiLvlLbl val="0"/>
      </c:catAx>
      <c:valAx>
        <c:axId val="1047885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48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D2-4D34-B83A-E45E1EAA713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DD2-4D34-B83A-E45E1EAA713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DD2-4D34-B83A-E45E1EAA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06879"/>
        <c:axId val="1047886079"/>
      </c:lineChart>
      <c:catAx>
        <c:axId val="1047906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6079"/>
        <c:crosses val="autoZero"/>
        <c:auto val="1"/>
        <c:lblAlgn val="ctr"/>
        <c:lblOffset val="100"/>
        <c:noMultiLvlLbl val="0"/>
      </c:catAx>
      <c:valAx>
        <c:axId val="1047886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68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4B8-4D76-957D-1DAD53A254B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4B8-4D76-957D-1DAD53A254B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4B8-4D76-957D-1DAD53A25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02303"/>
        <c:axId val="1047898975"/>
      </c:lineChart>
      <c:catAx>
        <c:axId val="1047902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8975"/>
        <c:crosses val="autoZero"/>
        <c:auto val="1"/>
        <c:lblAlgn val="ctr"/>
        <c:lblOffset val="100"/>
        <c:noMultiLvlLbl val="0"/>
      </c:catAx>
      <c:valAx>
        <c:axId val="1047898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23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67-4A97-BD50-859132E90EF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D67-4A97-BD50-859132E90EF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D67-4A97-BD50-859132E9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4399"/>
        <c:axId val="1047890239"/>
      </c:lineChart>
      <c:catAx>
        <c:axId val="1047894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0239"/>
        <c:crosses val="autoZero"/>
        <c:auto val="1"/>
        <c:lblAlgn val="ctr"/>
        <c:lblOffset val="100"/>
        <c:noMultiLvlLbl val="0"/>
      </c:catAx>
      <c:valAx>
        <c:axId val="1047890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43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26-491D-BF09-E836BC319F9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26-491D-BF09-E836BC319F9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A26-491D-BF09-E836BC31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6063"/>
        <c:axId val="1047881919"/>
      </c:lineChart>
      <c:catAx>
        <c:axId val="1047896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1919"/>
        <c:crosses val="autoZero"/>
        <c:auto val="1"/>
        <c:lblAlgn val="ctr"/>
        <c:lblOffset val="100"/>
        <c:noMultiLvlLbl val="0"/>
      </c:catAx>
      <c:valAx>
        <c:axId val="104788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60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B0-4D4B-A218-320FDC330AD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B0-4D4B-A218-320FDC330AD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B0-4D4B-A218-320FDC330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9807"/>
        <c:axId val="1047891487"/>
      </c:lineChart>
      <c:catAx>
        <c:axId val="1047899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1487"/>
        <c:crosses val="autoZero"/>
        <c:auto val="1"/>
        <c:lblAlgn val="ctr"/>
        <c:lblOffset val="100"/>
        <c:noMultiLvlLbl val="0"/>
      </c:catAx>
      <c:valAx>
        <c:axId val="10478914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98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0AA-438B-ADFE-F3737B691BE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0AA-438B-ADFE-F3737B691BE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0AA-438B-ADFE-F3737B691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01055"/>
        <c:axId val="1047896479"/>
      </c:lineChart>
      <c:catAx>
        <c:axId val="1047901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6479"/>
        <c:crosses val="autoZero"/>
        <c:auto val="1"/>
        <c:lblAlgn val="ctr"/>
        <c:lblOffset val="100"/>
        <c:noMultiLvlLbl val="0"/>
      </c:catAx>
      <c:valAx>
        <c:axId val="104789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10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DD-4D24-8A33-202212E53CA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DD-4D24-8A33-202212E53CA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0DD-4D24-8A33-202212E5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6895"/>
        <c:axId val="1047888159"/>
      </c:lineChart>
      <c:catAx>
        <c:axId val="1047896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8159"/>
        <c:crosses val="autoZero"/>
        <c:auto val="1"/>
        <c:lblAlgn val="ctr"/>
        <c:lblOffset val="100"/>
        <c:noMultiLvlLbl val="0"/>
      </c:catAx>
      <c:valAx>
        <c:axId val="1047888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68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6-48F7-A367-FA5E3449C13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E6-48F7-A367-FA5E3449C13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E6-48F7-A367-FA5E3449C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89823"/>
        <c:axId val="1047893567"/>
      </c:lineChart>
      <c:catAx>
        <c:axId val="1047889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3567"/>
        <c:crosses val="autoZero"/>
        <c:auto val="1"/>
        <c:lblAlgn val="ctr"/>
        <c:lblOffset val="100"/>
        <c:noMultiLvlLbl val="0"/>
      </c:catAx>
      <c:valAx>
        <c:axId val="104789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89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60-4E9F-A604-F5B1A60AFD36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60-4E9F-A604-F5B1A60AFD36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60-4E9F-A604-F5B1A60A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1071"/>
        <c:axId val="1047897727"/>
      </c:lineChart>
      <c:catAx>
        <c:axId val="1047891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7727"/>
        <c:crosses val="autoZero"/>
        <c:auto val="1"/>
        <c:lblAlgn val="ctr"/>
        <c:lblOffset val="100"/>
        <c:noMultiLvlLbl val="0"/>
      </c:catAx>
      <c:valAx>
        <c:axId val="1047897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10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D5-4F4F-BD6B-F76B48E33AC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D5-4F4F-BD6B-F76B48E33AC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D5-4F4F-BD6B-F76B48E33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8143"/>
        <c:axId val="1047908127"/>
      </c:lineChart>
      <c:catAx>
        <c:axId val="1047898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08127"/>
        <c:crosses val="autoZero"/>
        <c:auto val="1"/>
        <c:lblAlgn val="ctr"/>
        <c:lblOffset val="100"/>
        <c:noMultiLvlLbl val="0"/>
      </c:catAx>
      <c:valAx>
        <c:axId val="1047908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81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C4-4AC9-B3DD-9C800E60428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C4-4AC9-B3DD-9C800E60428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EC4-4AC9-B3DD-9C800E604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893983"/>
        <c:axId val="1047898559"/>
      </c:lineChart>
      <c:catAx>
        <c:axId val="1047893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8559"/>
        <c:crosses val="autoZero"/>
        <c:auto val="1"/>
        <c:lblAlgn val="ctr"/>
        <c:lblOffset val="100"/>
        <c:noMultiLvlLbl val="0"/>
      </c:catAx>
      <c:valAx>
        <c:axId val="1047898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8939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3B-4FD3-BCC8-5372CED6C61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3B-4FD3-BCC8-5372CED6C61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3B-4FD3-BCC8-5372CED6C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0191"/>
        <c:axId val="1047922687"/>
      </c:lineChart>
      <c:catAx>
        <c:axId val="1047920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2687"/>
        <c:crosses val="autoZero"/>
        <c:auto val="1"/>
        <c:lblAlgn val="ctr"/>
        <c:lblOffset val="100"/>
        <c:noMultiLvlLbl val="0"/>
      </c:catAx>
      <c:valAx>
        <c:axId val="1047922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01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50-437F-844D-C927A0754F1A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50-437F-844D-C927A0754F1A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50-437F-844D-C927A0754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7279"/>
        <c:axId val="1047919775"/>
      </c:lineChart>
      <c:catAx>
        <c:axId val="1047917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9775"/>
        <c:crosses val="autoZero"/>
        <c:auto val="1"/>
        <c:lblAlgn val="ctr"/>
        <c:lblOffset val="100"/>
        <c:noMultiLvlLbl val="0"/>
      </c:catAx>
      <c:valAx>
        <c:axId val="1047919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72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E-4CF9-BCBC-420B367098F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E-4CF9-BCBC-420B367098F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E-4CF9-BCBC-420B36709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4367"/>
        <c:axId val="1047911039"/>
      </c:lineChart>
      <c:catAx>
        <c:axId val="1047914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1039"/>
        <c:crosses val="autoZero"/>
        <c:auto val="1"/>
        <c:lblAlgn val="ctr"/>
        <c:lblOffset val="100"/>
        <c:noMultiLvlLbl val="0"/>
      </c:catAx>
      <c:valAx>
        <c:axId val="1047911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436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8E-42D3-82FE-765D44BD8C8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8E-42D3-82FE-765D44BD8C8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8E-42D3-82FE-765D44BD8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4783"/>
        <c:axId val="1047925183"/>
      </c:lineChart>
      <c:catAx>
        <c:axId val="1047914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5183"/>
        <c:crosses val="autoZero"/>
        <c:auto val="1"/>
        <c:lblAlgn val="ctr"/>
        <c:lblOffset val="100"/>
        <c:noMultiLvlLbl val="0"/>
      </c:catAx>
      <c:valAx>
        <c:axId val="10479251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47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D1-40C6-B1C1-A205CE46E003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D1-40C6-B1C1-A205CE46E003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D1-40C6-B1C1-A205CE46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5599"/>
        <c:axId val="1047931423"/>
      </c:lineChart>
      <c:catAx>
        <c:axId val="1047925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1423"/>
        <c:crosses val="autoZero"/>
        <c:auto val="1"/>
        <c:lblAlgn val="ctr"/>
        <c:lblOffset val="100"/>
        <c:noMultiLvlLbl val="0"/>
      </c:catAx>
      <c:valAx>
        <c:axId val="10479314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55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FC-4A44-B192-CBED211E1C0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FC-4A44-B192-CBED211E1C0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FC-4A44-B192-CBED211E1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3103"/>
        <c:axId val="1047921439"/>
      </c:lineChart>
      <c:catAx>
        <c:axId val="1047923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1439"/>
        <c:crosses val="autoZero"/>
        <c:auto val="1"/>
        <c:lblAlgn val="ctr"/>
        <c:lblOffset val="100"/>
        <c:noMultiLvlLbl val="0"/>
      </c:catAx>
      <c:valAx>
        <c:axId val="1047921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31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FF-40B1-A1CD-D4ABDBE0011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FF-40B1-A1CD-D4ABDBE0011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3FF-40B1-A1CD-D4ABDBE0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7695"/>
        <c:axId val="1047928927"/>
      </c:lineChart>
      <c:catAx>
        <c:axId val="1047917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8927"/>
        <c:crosses val="autoZero"/>
        <c:auto val="1"/>
        <c:lblAlgn val="ctr"/>
        <c:lblOffset val="100"/>
        <c:noMultiLvlLbl val="0"/>
      </c:catAx>
      <c:valAx>
        <c:axId val="1047928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76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D74-4675-9004-B5B7FD1D7454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74-4675-9004-B5B7FD1D7454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D74-4675-9004-B5B7FD1D7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6431"/>
        <c:axId val="1047913119"/>
      </c:lineChart>
      <c:catAx>
        <c:axId val="1047926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3119"/>
        <c:crosses val="autoZero"/>
        <c:auto val="1"/>
        <c:lblAlgn val="ctr"/>
        <c:lblOffset val="100"/>
        <c:noMultiLvlLbl val="0"/>
      </c:catAx>
      <c:valAx>
        <c:axId val="1047913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64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A6-4170-9DF2-6ABD58E1D8C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8A6-4170-9DF2-6ABD58E1D8C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8A6-4170-9DF2-6ABD58E1D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0607"/>
        <c:axId val="1047933503"/>
      </c:lineChart>
      <c:catAx>
        <c:axId val="1047920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3503"/>
        <c:crosses val="autoZero"/>
        <c:auto val="1"/>
        <c:lblAlgn val="ctr"/>
        <c:lblOffset val="100"/>
        <c:noMultiLvlLbl val="0"/>
      </c:catAx>
      <c:valAx>
        <c:axId val="10479335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06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DA-4D18-9F7C-C80C6E6ADA5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DA-4D18-9F7C-C80C6E6ADA5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7DA-4D18-9F7C-C80C6E6AD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3535"/>
        <c:axId val="1047915199"/>
      </c:lineChart>
      <c:catAx>
        <c:axId val="1047913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5199"/>
        <c:crosses val="autoZero"/>
        <c:auto val="1"/>
        <c:lblAlgn val="ctr"/>
        <c:lblOffset val="100"/>
        <c:noMultiLvlLbl val="0"/>
      </c:catAx>
      <c:valAx>
        <c:axId val="1047915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35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18-40B1-92B0-84EC0BB3E77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118-40B1-92B0-84EC0BB3E77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118-40B1-92B0-84EC0BB3E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34335"/>
        <c:axId val="1047911871"/>
      </c:lineChart>
      <c:catAx>
        <c:axId val="1047934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1871"/>
        <c:crosses val="autoZero"/>
        <c:auto val="1"/>
        <c:lblAlgn val="ctr"/>
        <c:lblOffset val="100"/>
        <c:noMultiLvlLbl val="0"/>
      </c:catAx>
      <c:valAx>
        <c:axId val="1047911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433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C0F-4B54-B31E-3A0822C1F67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C0F-4B54-B31E-3A0822C1F67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C0F-4B54-B31E-3A0822C1F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5615"/>
        <c:axId val="1047934751"/>
      </c:lineChart>
      <c:catAx>
        <c:axId val="1047915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4751"/>
        <c:crosses val="autoZero"/>
        <c:auto val="1"/>
        <c:lblAlgn val="ctr"/>
        <c:lblOffset val="100"/>
        <c:noMultiLvlLbl val="0"/>
      </c:catAx>
      <c:valAx>
        <c:axId val="1047934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561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6-4C52-840D-EDADB751F43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96-4C52-840D-EDADB751F43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96-4C52-840D-EDADB751F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6031"/>
        <c:axId val="1047926015"/>
      </c:lineChart>
      <c:catAx>
        <c:axId val="104791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6015"/>
        <c:crosses val="autoZero"/>
        <c:auto val="1"/>
        <c:lblAlgn val="ctr"/>
        <c:lblOffset val="100"/>
        <c:noMultiLvlLbl val="0"/>
      </c:catAx>
      <c:valAx>
        <c:axId val="10479260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603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DD-4255-89B3-A54AE70A92B7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DD-4255-89B3-A54AE70A92B7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DD-4255-89B3-A54AE70A9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7263"/>
        <c:axId val="1047932255"/>
      </c:lineChart>
      <c:catAx>
        <c:axId val="1047927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2255"/>
        <c:crosses val="autoZero"/>
        <c:auto val="1"/>
        <c:lblAlgn val="ctr"/>
        <c:lblOffset val="100"/>
        <c:noMultiLvlLbl val="0"/>
      </c:catAx>
      <c:valAx>
        <c:axId val="1047932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72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2E-4A20-89E5-EFBAA64F2D4E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2E-4A20-89E5-EFBAA64F2D4E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2E-4A20-89E5-EFBAA64F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1855"/>
        <c:axId val="1047932671"/>
      </c:lineChart>
      <c:catAx>
        <c:axId val="1047921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2671"/>
        <c:crosses val="autoZero"/>
        <c:auto val="1"/>
        <c:lblAlgn val="ctr"/>
        <c:lblOffset val="100"/>
        <c:noMultiLvlLbl val="0"/>
      </c:catAx>
      <c:valAx>
        <c:axId val="10479326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185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5A-4C68-A46F-0AE1A33C0CBF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5A-4C68-A46F-0AE1A33C0CBF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5A-4C68-A46F-0AE1A33C0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6447"/>
        <c:axId val="1047919359"/>
      </c:lineChart>
      <c:catAx>
        <c:axId val="104791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9359"/>
        <c:crosses val="autoZero"/>
        <c:auto val="1"/>
        <c:lblAlgn val="ctr"/>
        <c:lblOffset val="100"/>
        <c:noMultiLvlLbl val="0"/>
      </c:catAx>
      <c:valAx>
        <c:axId val="104791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644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17-438F-A3C9-F20060C85C7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17-438F-A3C9-F20060C85C7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E17-438F-A3C9-F20060C8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8111"/>
        <c:axId val="1047927679"/>
      </c:lineChart>
      <c:catAx>
        <c:axId val="1047918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7679"/>
        <c:crosses val="autoZero"/>
        <c:auto val="1"/>
        <c:lblAlgn val="ctr"/>
        <c:lblOffset val="100"/>
        <c:noMultiLvlLbl val="0"/>
      </c:catAx>
      <c:valAx>
        <c:axId val="1047927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81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E6-4251-9BC5-748438A1020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E6-4251-9BC5-748438A1020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E6-4251-9BC5-748438A10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8095"/>
        <c:axId val="1047931007"/>
      </c:lineChart>
      <c:catAx>
        <c:axId val="1047928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1007"/>
        <c:crosses val="autoZero"/>
        <c:auto val="1"/>
        <c:lblAlgn val="ctr"/>
        <c:lblOffset val="100"/>
        <c:noMultiLvlLbl val="0"/>
      </c:catAx>
      <c:valAx>
        <c:axId val="1047931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8095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52-41E6-A25E-F6F6669C7CD5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652-41E6-A25E-F6F6669C7CD5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652-41E6-A25E-F6F6669C7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6863"/>
        <c:axId val="1047933087"/>
      </c:lineChart>
      <c:catAx>
        <c:axId val="1047916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3087"/>
        <c:crosses val="autoZero"/>
        <c:auto val="1"/>
        <c:lblAlgn val="ctr"/>
        <c:lblOffset val="100"/>
        <c:noMultiLvlLbl val="0"/>
      </c:catAx>
      <c:valAx>
        <c:axId val="10479330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686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AF-4D35-947E-10DAE226016D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AF-4D35-947E-10DAE226016D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AF-4D35-947E-10DAE226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10207"/>
        <c:axId val="1047918527"/>
      </c:lineChart>
      <c:catAx>
        <c:axId val="1047910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8527"/>
        <c:crosses val="autoZero"/>
        <c:auto val="1"/>
        <c:lblAlgn val="ctr"/>
        <c:lblOffset val="100"/>
        <c:noMultiLvlLbl val="0"/>
      </c:catAx>
      <c:valAx>
        <c:axId val="10479185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10207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BF-417B-804B-7A33BAEE753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BF-417B-804B-7A33BAEE753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CBF-417B-804B-7A33BAEE7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22271"/>
        <c:axId val="1047924351"/>
      </c:lineChart>
      <c:catAx>
        <c:axId val="104792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4351"/>
        <c:crosses val="autoZero"/>
        <c:auto val="1"/>
        <c:lblAlgn val="ctr"/>
        <c:lblOffset val="100"/>
        <c:noMultiLvlLbl val="0"/>
      </c:catAx>
      <c:valAx>
        <c:axId val="1047924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2227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4E-4B3A-9BC0-B0D94AA1BB3C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4E-4B3A-9BC0-B0D94AA1BB3C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84E-4B3A-9BC0-B0D94AA1B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38079"/>
        <c:axId val="1047960127"/>
      </c:lineChart>
      <c:catAx>
        <c:axId val="1047938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60127"/>
        <c:crosses val="autoZero"/>
        <c:auto val="1"/>
        <c:lblAlgn val="ctr"/>
        <c:lblOffset val="100"/>
        <c:noMultiLvlLbl val="0"/>
      </c:catAx>
      <c:valAx>
        <c:axId val="1047960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80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95-4CA1-B029-C95B65BDC10B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95-4CA1-B029-C95B65BDC10B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95-4CA1-B029-C95B65BD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55551"/>
        <c:axId val="1047952223"/>
      </c:lineChart>
      <c:catAx>
        <c:axId val="1047955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2223"/>
        <c:crosses val="autoZero"/>
        <c:auto val="1"/>
        <c:lblAlgn val="ctr"/>
        <c:lblOffset val="100"/>
        <c:noMultiLvlLbl val="0"/>
      </c:catAx>
      <c:valAx>
        <c:axId val="1047952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555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AF-4022-83D8-03B4AAC7F690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AF-4022-83D8-03B4AAC7F690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AF-4022-83D8-03B4AAC7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41823"/>
        <c:axId val="1047953055"/>
      </c:lineChart>
      <c:catAx>
        <c:axId val="1047941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3055"/>
        <c:crosses val="autoZero"/>
        <c:auto val="1"/>
        <c:lblAlgn val="ctr"/>
        <c:lblOffset val="100"/>
        <c:noMultiLvlLbl val="0"/>
      </c:catAx>
      <c:valAx>
        <c:axId val="10479530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4182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9A-49E7-92F6-1F573A49F13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9A-49E7-92F6-1F573A49F13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9A-49E7-92F6-1F573A49F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48479"/>
        <c:axId val="1047953471"/>
      </c:lineChart>
      <c:catAx>
        <c:axId val="1047948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3471"/>
        <c:crosses val="autoZero"/>
        <c:auto val="1"/>
        <c:lblAlgn val="ctr"/>
        <c:lblOffset val="100"/>
        <c:noMultiLvlLbl val="0"/>
      </c:catAx>
      <c:valAx>
        <c:axId val="1047953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484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D9-4AD2-B623-18B978A8FFE2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D9-4AD2-B623-18B978A8FFE2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0D9-4AD2-B623-18B978A8F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43903"/>
        <c:axId val="1047937663"/>
      </c:lineChart>
      <c:catAx>
        <c:axId val="1047943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7663"/>
        <c:crosses val="autoZero"/>
        <c:auto val="1"/>
        <c:lblAlgn val="ctr"/>
        <c:lblOffset val="100"/>
        <c:noMultiLvlLbl val="0"/>
      </c:catAx>
      <c:valAx>
        <c:axId val="1047937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4390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FD-4CBA-975F-70E221E512B9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FD-4CBA-975F-70E221E512B9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FD-4CBA-975F-70E221E51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38911"/>
        <c:axId val="1047953887"/>
      </c:lineChart>
      <c:catAx>
        <c:axId val="104793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3887"/>
        <c:crosses val="autoZero"/>
        <c:auto val="1"/>
        <c:lblAlgn val="ctr"/>
        <c:lblOffset val="100"/>
        <c:noMultiLvlLbl val="0"/>
      </c:catAx>
      <c:valAx>
        <c:axId val="1047953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891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Анализ доходов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Удельный вес в 2012 г., %</c:v>
          </c:tx>
          <c:marker>
            <c:symbol val="none"/>
          </c:marker>
          <c:cat>
            <c:strRef>
              <c:f>('4.2 Шаблоны таблицы и диаграммы'!$A$4:$A$9,'4.2 Шаблоны таблицы и диаграммы'!$A$11:$A$13)</c:f>
              <c:strCache>
                <c:ptCount val="9"/>
                <c:pt idx="0">
                  <c:v>Налоги на прибыль (доход), прирост капитала</c:v>
                </c:pt>
                <c:pt idx="1">
                  <c:v>Налоги на товары и услуги, лицензионные сборы</c:v>
                </c:pt>
                <c:pt idx="2">
                  <c:v>Налоги на совокупный доход</c:v>
                </c:pt>
                <c:pt idx="3">
                  <c:v>Налоги на имущество</c:v>
                </c:pt>
                <c:pt idx="4">
                  <c:v>Платежи за пользование природными ресурсами</c:v>
                </c:pt>
                <c:pt idx="5">
                  <c:v>Прочие налоги, пошлины и сборы</c:v>
                </c:pt>
                <c:pt idx="6">
                  <c:v>Доходы от имущества, находящегося в госсобственности</c:v>
                </c:pt>
                <c:pt idx="7">
                  <c:v>Административные платежи и сборы</c:v>
                </c:pt>
                <c:pt idx="8">
                  <c:v>Штрафные санкции</c:v>
                </c:pt>
              </c:strCache>
            </c:strRef>
          </c:cat>
          <c:val>
            <c:numRef>
              <c:f>('4.2 Шаблоны таблицы и диаграммы'!$B$4:$B$9,'4.2 Шаблоны таблицы и диаграммы'!$B$11:$B$13)</c:f>
              <c:numCache>
                <c:formatCode>General</c:formatCode>
                <c:ptCount val="9"/>
                <c:pt idx="0">
                  <c:v>347660</c:v>
                </c:pt>
                <c:pt idx="1">
                  <c:v>396110</c:v>
                </c:pt>
                <c:pt idx="2">
                  <c:v>53810</c:v>
                </c:pt>
                <c:pt idx="3">
                  <c:v>266900</c:v>
                </c:pt>
                <c:pt idx="4">
                  <c:v>102600</c:v>
                </c:pt>
                <c:pt idx="5">
                  <c:v>236580</c:v>
                </c:pt>
                <c:pt idx="6">
                  <c:v>10690</c:v>
                </c:pt>
                <c:pt idx="7">
                  <c:v>9500</c:v>
                </c:pt>
                <c:pt idx="8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A6-42D9-9D5F-60189BBB1C31}"/>
            </c:ext>
          </c:extLst>
        </c:ser>
        <c:ser>
          <c:idx val="1"/>
          <c:order val="1"/>
          <c:tx>
            <c:v>Удельный вес в 2013 г., %</c:v>
          </c:tx>
          <c:marker>
            <c:symbol val="none"/>
          </c:marker>
          <c:val>
            <c:numRef>
              <c:f>('4.2 Шаблоны таблицы и диаграммы'!$D$4:$D$9,'4.2 Шаблоны таблицы и диаграммы'!$D$11:$D$13)</c:f>
              <c:numCache>
                <c:formatCode>General</c:formatCode>
                <c:ptCount val="9"/>
                <c:pt idx="0">
                  <c:v>666562</c:v>
                </c:pt>
                <c:pt idx="1">
                  <c:v>142887</c:v>
                </c:pt>
                <c:pt idx="2">
                  <c:v>35696</c:v>
                </c:pt>
                <c:pt idx="3">
                  <c:v>107253</c:v>
                </c:pt>
                <c:pt idx="4">
                  <c:v>382380</c:v>
                </c:pt>
                <c:pt idx="5">
                  <c:v>274296</c:v>
                </c:pt>
                <c:pt idx="6">
                  <c:v>37366</c:v>
                </c:pt>
                <c:pt idx="7">
                  <c:v>6000</c:v>
                </c:pt>
                <c:pt idx="8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5A6-42D9-9D5F-60189BBB1C31}"/>
            </c:ext>
          </c:extLst>
        </c:ser>
        <c:ser>
          <c:idx val="2"/>
          <c:order val="2"/>
          <c:tx>
            <c:v>Превышение доходов %</c:v>
          </c:tx>
          <c:marker>
            <c:symbol val="none"/>
          </c:marker>
          <c:val>
            <c:numRef>
              <c:f>('4.2 Шаблоны таблицы и диаграммы'!$F$4:$F$9,'4.2 Шаблоны таблицы и диаграммы'!$F$11:$F$13)</c:f>
              <c:numCache>
                <c:formatCode>General</c:formatCode>
                <c:ptCount val="9"/>
                <c:pt idx="0">
                  <c:v>318902</c:v>
                </c:pt>
                <c:pt idx="1">
                  <c:v>-253223</c:v>
                </c:pt>
                <c:pt idx="2">
                  <c:v>-18114</c:v>
                </c:pt>
                <c:pt idx="3">
                  <c:v>-159647</c:v>
                </c:pt>
                <c:pt idx="4">
                  <c:v>279780</c:v>
                </c:pt>
                <c:pt idx="5">
                  <c:v>37716</c:v>
                </c:pt>
                <c:pt idx="6">
                  <c:v>26676</c:v>
                </c:pt>
                <c:pt idx="7">
                  <c:v>-3500</c:v>
                </c:pt>
                <c:pt idx="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5A6-42D9-9D5F-60189BBB1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935999"/>
        <c:axId val="1047958879"/>
      </c:lineChart>
      <c:catAx>
        <c:axId val="1047935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Статьи дохода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58879"/>
        <c:crosses val="autoZero"/>
        <c:auto val="1"/>
        <c:lblAlgn val="ctr"/>
        <c:lblOffset val="100"/>
        <c:noMultiLvlLbl val="0"/>
      </c:catAx>
      <c:valAx>
        <c:axId val="1047958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Сумма, тыс. руб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4793599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63" Type="http://schemas.openxmlformats.org/officeDocument/2006/relationships/chart" Target="../charts/chart63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159" Type="http://schemas.openxmlformats.org/officeDocument/2006/relationships/chart" Target="../charts/chart159.xml"/><Relationship Id="rId170" Type="http://schemas.openxmlformats.org/officeDocument/2006/relationships/chart" Target="../charts/chart170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26" Type="http://schemas.openxmlformats.org/officeDocument/2006/relationships/chart" Target="../charts/chart226.xml"/><Relationship Id="rId247" Type="http://schemas.openxmlformats.org/officeDocument/2006/relationships/chart" Target="../charts/chart247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53" Type="http://schemas.openxmlformats.org/officeDocument/2006/relationships/chart" Target="../charts/chart53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149" Type="http://schemas.openxmlformats.org/officeDocument/2006/relationships/chart" Target="../charts/chart149.xml"/><Relationship Id="rId5" Type="http://schemas.openxmlformats.org/officeDocument/2006/relationships/chart" Target="../charts/chart5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181" Type="http://schemas.openxmlformats.org/officeDocument/2006/relationships/chart" Target="../charts/chart181.xml"/><Relationship Id="rId216" Type="http://schemas.openxmlformats.org/officeDocument/2006/relationships/chart" Target="../charts/chart216.xml"/><Relationship Id="rId237" Type="http://schemas.openxmlformats.org/officeDocument/2006/relationships/chart" Target="../charts/chart237.xml"/><Relationship Id="rId22" Type="http://schemas.openxmlformats.org/officeDocument/2006/relationships/chart" Target="../charts/chart22.xml"/><Relationship Id="rId43" Type="http://schemas.openxmlformats.org/officeDocument/2006/relationships/chart" Target="../charts/chart43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139" Type="http://schemas.openxmlformats.org/officeDocument/2006/relationships/chart" Target="../charts/chart13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71" Type="http://schemas.openxmlformats.org/officeDocument/2006/relationships/chart" Target="../charts/chart171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227" Type="http://schemas.openxmlformats.org/officeDocument/2006/relationships/chart" Target="../charts/chart227.xml"/><Relationship Id="rId248" Type="http://schemas.openxmlformats.org/officeDocument/2006/relationships/chart" Target="../charts/chart248.xml"/><Relationship Id="rId12" Type="http://schemas.openxmlformats.org/officeDocument/2006/relationships/chart" Target="../charts/chart12.xml"/><Relationship Id="rId33" Type="http://schemas.openxmlformats.org/officeDocument/2006/relationships/chart" Target="../charts/chart33.xml"/><Relationship Id="rId108" Type="http://schemas.openxmlformats.org/officeDocument/2006/relationships/chart" Target="../charts/chart108.xml"/><Relationship Id="rId129" Type="http://schemas.openxmlformats.org/officeDocument/2006/relationships/chart" Target="../charts/chart129.xml"/><Relationship Id="rId54" Type="http://schemas.openxmlformats.org/officeDocument/2006/relationships/chart" Target="../charts/chart54.xml"/><Relationship Id="rId75" Type="http://schemas.openxmlformats.org/officeDocument/2006/relationships/chart" Target="../charts/chart75.xml"/><Relationship Id="rId96" Type="http://schemas.openxmlformats.org/officeDocument/2006/relationships/chart" Target="../charts/chart96.xml"/><Relationship Id="rId140" Type="http://schemas.openxmlformats.org/officeDocument/2006/relationships/chart" Target="../charts/chart140.xml"/><Relationship Id="rId161" Type="http://schemas.openxmlformats.org/officeDocument/2006/relationships/chart" Target="../charts/chart161.xml"/><Relationship Id="rId182" Type="http://schemas.openxmlformats.org/officeDocument/2006/relationships/chart" Target="../charts/chart182.xml"/><Relationship Id="rId217" Type="http://schemas.openxmlformats.org/officeDocument/2006/relationships/chart" Target="../charts/chart217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44" Type="http://schemas.openxmlformats.org/officeDocument/2006/relationships/chart" Target="../charts/chart44.xml"/><Relationship Id="rId65" Type="http://schemas.openxmlformats.org/officeDocument/2006/relationships/chart" Target="../charts/chart65.xml"/><Relationship Id="rId86" Type="http://schemas.openxmlformats.org/officeDocument/2006/relationships/chart" Target="../charts/chart86.xml"/><Relationship Id="rId130" Type="http://schemas.openxmlformats.org/officeDocument/2006/relationships/chart" Target="../charts/chart130.xml"/><Relationship Id="rId151" Type="http://schemas.openxmlformats.org/officeDocument/2006/relationships/chart" Target="../charts/chart151.xml"/><Relationship Id="rId172" Type="http://schemas.openxmlformats.org/officeDocument/2006/relationships/chart" Target="../charts/chart172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28" Type="http://schemas.openxmlformats.org/officeDocument/2006/relationships/chart" Target="../charts/chart228.xml"/><Relationship Id="rId249" Type="http://schemas.openxmlformats.org/officeDocument/2006/relationships/chart" Target="../charts/chart249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141" Type="http://schemas.openxmlformats.org/officeDocument/2006/relationships/chart" Target="../charts/chart141.xml"/><Relationship Id="rId7" Type="http://schemas.openxmlformats.org/officeDocument/2006/relationships/chart" Target="../charts/chart7.xml"/><Relationship Id="rId162" Type="http://schemas.openxmlformats.org/officeDocument/2006/relationships/chart" Target="../charts/chart162.xml"/><Relationship Id="rId183" Type="http://schemas.openxmlformats.org/officeDocument/2006/relationships/chart" Target="../charts/chart183.xml"/><Relationship Id="rId218" Type="http://schemas.openxmlformats.org/officeDocument/2006/relationships/chart" Target="../charts/chart218.xml"/><Relationship Id="rId239" Type="http://schemas.openxmlformats.org/officeDocument/2006/relationships/chart" Target="../charts/chart239.xml"/><Relationship Id="rId250" Type="http://schemas.openxmlformats.org/officeDocument/2006/relationships/chart" Target="../charts/chart250.xml"/><Relationship Id="rId24" Type="http://schemas.openxmlformats.org/officeDocument/2006/relationships/chart" Target="../charts/chart24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31" Type="http://schemas.openxmlformats.org/officeDocument/2006/relationships/chart" Target="../charts/chart131.xml"/><Relationship Id="rId152" Type="http://schemas.openxmlformats.org/officeDocument/2006/relationships/chart" Target="../charts/chart152.xml"/><Relationship Id="rId173" Type="http://schemas.openxmlformats.org/officeDocument/2006/relationships/chart" Target="../charts/chart173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229" Type="http://schemas.openxmlformats.org/officeDocument/2006/relationships/chart" Target="../charts/chart229.xml"/><Relationship Id="rId240" Type="http://schemas.openxmlformats.org/officeDocument/2006/relationships/chart" Target="../charts/chart240.xml"/><Relationship Id="rId14" Type="http://schemas.openxmlformats.org/officeDocument/2006/relationships/chart" Target="../charts/chart14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8" Type="http://schemas.openxmlformats.org/officeDocument/2006/relationships/chart" Target="../charts/chart8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184" Type="http://schemas.openxmlformats.org/officeDocument/2006/relationships/chart" Target="../charts/chart184.xml"/><Relationship Id="rId219" Type="http://schemas.openxmlformats.org/officeDocument/2006/relationships/chart" Target="../charts/chart219.xml"/><Relationship Id="rId230" Type="http://schemas.openxmlformats.org/officeDocument/2006/relationships/chart" Target="../charts/chart230.xml"/><Relationship Id="rId251" Type="http://schemas.openxmlformats.org/officeDocument/2006/relationships/chart" Target="../charts/chart251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74" Type="http://schemas.openxmlformats.org/officeDocument/2006/relationships/chart" Target="../charts/chart174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220" Type="http://schemas.openxmlformats.org/officeDocument/2006/relationships/chart" Target="../charts/chart220.xml"/><Relationship Id="rId241" Type="http://schemas.openxmlformats.org/officeDocument/2006/relationships/chart" Target="../charts/chart241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78" Type="http://schemas.openxmlformats.org/officeDocument/2006/relationships/chart" Target="../charts/chart78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64" Type="http://schemas.openxmlformats.org/officeDocument/2006/relationships/chart" Target="../charts/chart164.xml"/><Relationship Id="rId185" Type="http://schemas.openxmlformats.org/officeDocument/2006/relationships/chart" Target="../charts/chart185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52" Type="http://schemas.openxmlformats.org/officeDocument/2006/relationships/chart" Target="../charts/chart252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75" Type="http://schemas.openxmlformats.org/officeDocument/2006/relationships/chart" Target="../charts/chart175.xml"/><Relationship Id="rId196" Type="http://schemas.openxmlformats.org/officeDocument/2006/relationships/chart" Target="../charts/chart196.xml"/><Relationship Id="rId200" Type="http://schemas.openxmlformats.org/officeDocument/2006/relationships/chart" Target="../charts/chart200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42" Type="http://schemas.openxmlformats.org/officeDocument/2006/relationships/chart" Target="../charts/chart242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186" Type="http://schemas.openxmlformats.org/officeDocument/2006/relationships/chart" Target="../charts/chart186.xml"/><Relationship Id="rId211" Type="http://schemas.openxmlformats.org/officeDocument/2006/relationships/chart" Target="../charts/chart211.xml"/><Relationship Id="rId232" Type="http://schemas.openxmlformats.org/officeDocument/2006/relationships/chart" Target="../charts/chart232.xml"/><Relationship Id="rId253" Type="http://schemas.openxmlformats.org/officeDocument/2006/relationships/chart" Target="../charts/chart253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6" Type="http://schemas.openxmlformats.org/officeDocument/2006/relationships/chart" Target="../charts/chart176.xml"/><Relationship Id="rId197" Type="http://schemas.openxmlformats.org/officeDocument/2006/relationships/chart" Target="../charts/chart197.xml"/><Relationship Id="rId201" Type="http://schemas.openxmlformats.org/officeDocument/2006/relationships/chart" Target="../charts/chart201.xml"/><Relationship Id="rId222" Type="http://schemas.openxmlformats.org/officeDocument/2006/relationships/chart" Target="../charts/chart222.xml"/><Relationship Id="rId243" Type="http://schemas.openxmlformats.org/officeDocument/2006/relationships/chart" Target="../charts/chart243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Relationship Id="rId70" Type="http://schemas.openxmlformats.org/officeDocument/2006/relationships/chart" Target="../charts/chart70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66" Type="http://schemas.openxmlformats.org/officeDocument/2006/relationships/chart" Target="../charts/chart166.xml"/><Relationship Id="rId187" Type="http://schemas.openxmlformats.org/officeDocument/2006/relationships/chart" Target="../charts/chart187.xml"/><Relationship Id="rId1" Type="http://schemas.openxmlformats.org/officeDocument/2006/relationships/chart" Target="../charts/chart1.xml"/><Relationship Id="rId212" Type="http://schemas.openxmlformats.org/officeDocument/2006/relationships/chart" Target="../charts/chart212.xml"/><Relationship Id="rId233" Type="http://schemas.openxmlformats.org/officeDocument/2006/relationships/chart" Target="../charts/chart233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60" Type="http://schemas.openxmlformats.org/officeDocument/2006/relationships/chart" Target="../charts/chart60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56" Type="http://schemas.openxmlformats.org/officeDocument/2006/relationships/chart" Target="../charts/chart156.xml"/><Relationship Id="rId177" Type="http://schemas.openxmlformats.org/officeDocument/2006/relationships/chart" Target="../charts/chart177.xml"/><Relationship Id="rId198" Type="http://schemas.openxmlformats.org/officeDocument/2006/relationships/chart" Target="../charts/chart198.xml"/><Relationship Id="rId202" Type="http://schemas.openxmlformats.org/officeDocument/2006/relationships/chart" Target="../charts/chart202.xml"/><Relationship Id="rId223" Type="http://schemas.openxmlformats.org/officeDocument/2006/relationships/chart" Target="../charts/chart223.xml"/><Relationship Id="rId244" Type="http://schemas.openxmlformats.org/officeDocument/2006/relationships/chart" Target="../charts/chart244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25" Type="http://schemas.openxmlformats.org/officeDocument/2006/relationships/chart" Target="../charts/chart125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188" Type="http://schemas.openxmlformats.org/officeDocument/2006/relationships/chart" Target="../charts/chart188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234" Type="http://schemas.openxmlformats.org/officeDocument/2006/relationships/chart" Target="../charts/chart23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40" Type="http://schemas.openxmlformats.org/officeDocument/2006/relationships/chart" Target="../charts/chart40.xml"/><Relationship Id="rId115" Type="http://schemas.openxmlformats.org/officeDocument/2006/relationships/chart" Target="../charts/chart115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178" Type="http://schemas.openxmlformats.org/officeDocument/2006/relationships/chart" Target="../charts/chart178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9" Type="http://schemas.openxmlformats.org/officeDocument/2006/relationships/chart" Target="../charts/chart199.xml"/><Relationship Id="rId203" Type="http://schemas.openxmlformats.org/officeDocument/2006/relationships/chart" Target="../charts/chart203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45" Type="http://schemas.openxmlformats.org/officeDocument/2006/relationships/chart" Target="../charts/chart245.xml"/><Relationship Id="rId30" Type="http://schemas.openxmlformats.org/officeDocument/2006/relationships/chart" Target="../charts/chart3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" Type="http://schemas.openxmlformats.org/officeDocument/2006/relationships/chart" Target="../charts/chart3.xml"/><Relationship Id="rId214" Type="http://schemas.openxmlformats.org/officeDocument/2006/relationships/chart" Target="../charts/chart214.xml"/><Relationship Id="rId235" Type="http://schemas.openxmlformats.org/officeDocument/2006/relationships/chart" Target="../charts/chart235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25" Type="http://schemas.openxmlformats.org/officeDocument/2006/relationships/chart" Target="../charts/chart225.xml"/><Relationship Id="rId246" Type="http://schemas.openxmlformats.org/officeDocument/2006/relationships/chart" Target="../charts/chart246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169" Type="http://schemas.openxmlformats.org/officeDocument/2006/relationships/chart" Target="../charts/chart169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15" Type="http://schemas.openxmlformats.org/officeDocument/2006/relationships/chart" Target="../charts/chart215.xml"/><Relationship Id="rId236" Type="http://schemas.openxmlformats.org/officeDocument/2006/relationships/chart" Target="../charts/chart23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190500</xdr:colOff>
          <xdr:row>1</xdr:row>
          <xdr:rowOff>0</xdr:rowOff>
        </xdr:from>
        <xdr:ext cx="670560" cy="236220"/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32004" rIns="27432" bIns="32004" anchor="ctr" upright="1">
              <a:spAutoFit/>
            </a:bodyPr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BF8F00"/>
                  </a:solidFill>
                  <a:latin typeface="Calibri"/>
                  <a:ea typeface="Calibri"/>
                  <a:cs typeface="Calibri"/>
                </a:rPr>
                <a:t>Расчитать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182880</xdr:rowOff>
        </xdr:from>
        <xdr:to>
          <xdr:col>19</xdr:col>
          <xdr:colOff>7620</xdr:colOff>
          <xdr:row>4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655320</xdr:colOff>
          <xdr:row>5</xdr:row>
          <xdr:rowOff>152400</xdr:rowOff>
        </xdr:from>
        <xdr:to>
          <xdr:col>18</xdr:col>
          <xdr:colOff>632460</xdr:colOff>
          <xdr:row>9</xdr:row>
          <xdr:rowOff>99060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</xdr:colOff>
          <xdr:row>1</xdr:row>
          <xdr:rowOff>7620</xdr:rowOff>
        </xdr:from>
        <xdr:to>
          <xdr:col>11</xdr:col>
          <xdr:colOff>38100</xdr:colOff>
          <xdr:row>5</xdr:row>
          <xdr:rowOff>22860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</xdr:colOff>
          <xdr:row>5</xdr:row>
          <xdr:rowOff>182880</xdr:rowOff>
        </xdr:from>
        <xdr:to>
          <xdr:col>10</xdr:col>
          <xdr:colOff>662940</xdr:colOff>
          <xdr:row>10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AC736F1-4B67-46B8-ABB0-6135B86D6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FA60388-A98A-4159-9AC0-5DFD7B877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19C6E8F-C9AE-42D5-921C-18D3600A0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93077C79-A9BD-4E2A-8F3C-B3DD70C3E9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524AD28E-EFE1-4416-A377-65ACA692E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E24CB24-98AF-4727-ACA4-9E22D3676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BCAAEB5-F0C7-49C1-8414-E2586ED4C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6F58241-886C-483B-B863-3FDD210C2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9E3B6DE5-B430-4890-B5AC-9750A40D9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3FF5BC9-2746-440E-887F-D97DCB110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4" name="Диаграмма 11413">
          <a:extLst>
            <a:ext uri="{FF2B5EF4-FFF2-40B4-BE49-F238E27FC236}">
              <a16:creationId xmlns:a16="http://schemas.microsoft.com/office/drawing/2014/main" id="{35C453B4-E30C-4E13-BF99-B89FC18ED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5" name="Диаграмма 11414">
          <a:extLst>
            <a:ext uri="{FF2B5EF4-FFF2-40B4-BE49-F238E27FC236}">
              <a16:creationId xmlns:a16="http://schemas.microsoft.com/office/drawing/2014/main" id="{5CBB9F46-F7F4-4A7D-BC0F-7845823C6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6" name="Диаграмма 11415">
          <a:extLst>
            <a:ext uri="{FF2B5EF4-FFF2-40B4-BE49-F238E27FC236}">
              <a16:creationId xmlns:a16="http://schemas.microsoft.com/office/drawing/2014/main" id="{FC72DFC4-441D-463B-9814-CD469557F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7" name="Диаграмма 11416">
          <a:extLst>
            <a:ext uri="{FF2B5EF4-FFF2-40B4-BE49-F238E27FC236}">
              <a16:creationId xmlns:a16="http://schemas.microsoft.com/office/drawing/2014/main" id="{A33914C8-8C70-4FB9-B3DC-6DF816974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8" name="Диаграмма 11417">
          <a:extLst>
            <a:ext uri="{FF2B5EF4-FFF2-40B4-BE49-F238E27FC236}">
              <a16:creationId xmlns:a16="http://schemas.microsoft.com/office/drawing/2014/main" id="{DA998BFE-8F03-468E-AF81-2CE76D930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19" name="Диаграмма 11418">
          <a:extLst>
            <a:ext uri="{FF2B5EF4-FFF2-40B4-BE49-F238E27FC236}">
              <a16:creationId xmlns:a16="http://schemas.microsoft.com/office/drawing/2014/main" id="{6B43B584-A459-4F7D-86E6-F2B2527AB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0" name="Диаграмма 11419">
          <a:extLst>
            <a:ext uri="{FF2B5EF4-FFF2-40B4-BE49-F238E27FC236}">
              <a16:creationId xmlns:a16="http://schemas.microsoft.com/office/drawing/2014/main" id="{C1BFCFC4-C5A5-4569-9499-484D6F6CF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1" name="Диаграмма 11420">
          <a:extLst>
            <a:ext uri="{FF2B5EF4-FFF2-40B4-BE49-F238E27FC236}">
              <a16:creationId xmlns:a16="http://schemas.microsoft.com/office/drawing/2014/main" id="{4757D803-D209-4948-951F-766D09FC2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2" name="Диаграмма 11421">
          <a:extLst>
            <a:ext uri="{FF2B5EF4-FFF2-40B4-BE49-F238E27FC236}">
              <a16:creationId xmlns:a16="http://schemas.microsoft.com/office/drawing/2014/main" id="{F4D02DD1-0FA6-4492-8EB3-617E44333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3" name="Диаграмма 11422">
          <a:extLst>
            <a:ext uri="{FF2B5EF4-FFF2-40B4-BE49-F238E27FC236}">
              <a16:creationId xmlns:a16="http://schemas.microsoft.com/office/drawing/2014/main" id="{75E0D84F-9EC6-43D0-A050-F848836C2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4" name="Диаграмма 11423">
          <a:extLst>
            <a:ext uri="{FF2B5EF4-FFF2-40B4-BE49-F238E27FC236}">
              <a16:creationId xmlns:a16="http://schemas.microsoft.com/office/drawing/2014/main" id="{3095F427-5511-4A32-8D28-ABCA4C716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5" name="Диаграмма 11424">
          <a:extLst>
            <a:ext uri="{FF2B5EF4-FFF2-40B4-BE49-F238E27FC236}">
              <a16:creationId xmlns:a16="http://schemas.microsoft.com/office/drawing/2014/main" id="{431348D6-20CD-46CE-A0F4-782F6821E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6" name="Диаграмма 11425">
          <a:extLst>
            <a:ext uri="{FF2B5EF4-FFF2-40B4-BE49-F238E27FC236}">
              <a16:creationId xmlns:a16="http://schemas.microsoft.com/office/drawing/2014/main" id="{8B49AC1C-9C4F-4F54-B289-CE32E543E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7" name="Диаграмма 11426">
          <a:extLst>
            <a:ext uri="{FF2B5EF4-FFF2-40B4-BE49-F238E27FC236}">
              <a16:creationId xmlns:a16="http://schemas.microsoft.com/office/drawing/2014/main" id="{9730D8B8-ED41-4A81-B73F-D84D3EF25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8" name="Диаграмма 11427">
          <a:extLst>
            <a:ext uri="{FF2B5EF4-FFF2-40B4-BE49-F238E27FC236}">
              <a16:creationId xmlns:a16="http://schemas.microsoft.com/office/drawing/2014/main" id="{B5178CEB-E6B4-40CF-9661-FD0DEE6BF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29" name="Диаграмма 11428">
          <a:extLst>
            <a:ext uri="{FF2B5EF4-FFF2-40B4-BE49-F238E27FC236}">
              <a16:creationId xmlns:a16="http://schemas.microsoft.com/office/drawing/2014/main" id="{2023DD9E-BEA9-4888-BAC5-E9CF3AAF49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0" name="Диаграмма 11429">
          <a:extLst>
            <a:ext uri="{FF2B5EF4-FFF2-40B4-BE49-F238E27FC236}">
              <a16:creationId xmlns:a16="http://schemas.microsoft.com/office/drawing/2014/main" id="{A60EA1F9-1829-4F36-B688-A74FC32CD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1" name="Диаграмма 11430">
          <a:extLst>
            <a:ext uri="{FF2B5EF4-FFF2-40B4-BE49-F238E27FC236}">
              <a16:creationId xmlns:a16="http://schemas.microsoft.com/office/drawing/2014/main" id="{48A4663E-8FE1-40BE-A54D-AD32CF24E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2" name="Диаграмма 11431">
          <a:extLst>
            <a:ext uri="{FF2B5EF4-FFF2-40B4-BE49-F238E27FC236}">
              <a16:creationId xmlns:a16="http://schemas.microsoft.com/office/drawing/2014/main" id="{31FD10A7-6F20-4008-8CCF-5620F5712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3" name="Диаграмма 11432">
          <a:extLst>
            <a:ext uri="{FF2B5EF4-FFF2-40B4-BE49-F238E27FC236}">
              <a16:creationId xmlns:a16="http://schemas.microsoft.com/office/drawing/2014/main" id="{C912BD46-4DB4-48FB-BD78-19D08FF06B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4" name="Диаграмма 11433">
          <a:extLst>
            <a:ext uri="{FF2B5EF4-FFF2-40B4-BE49-F238E27FC236}">
              <a16:creationId xmlns:a16="http://schemas.microsoft.com/office/drawing/2014/main" id="{3B9BA220-F745-418E-9FED-0F67F045D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5" name="Диаграмма 11434">
          <a:extLst>
            <a:ext uri="{FF2B5EF4-FFF2-40B4-BE49-F238E27FC236}">
              <a16:creationId xmlns:a16="http://schemas.microsoft.com/office/drawing/2014/main" id="{AFD6A15D-0FEC-4C51-B8D0-D84FED4E49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6" name="Диаграмма 11435">
          <a:extLst>
            <a:ext uri="{FF2B5EF4-FFF2-40B4-BE49-F238E27FC236}">
              <a16:creationId xmlns:a16="http://schemas.microsoft.com/office/drawing/2014/main" id="{23D837C5-B996-4F19-99DD-2A9590F3F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7" name="Диаграмма 11436">
          <a:extLst>
            <a:ext uri="{FF2B5EF4-FFF2-40B4-BE49-F238E27FC236}">
              <a16:creationId xmlns:a16="http://schemas.microsoft.com/office/drawing/2014/main" id="{469E6370-5864-47C7-8CDB-295F09586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8" name="Диаграмма 11437">
          <a:extLst>
            <a:ext uri="{FF2B5EF4-FFF2-40B4-BE49-F238E27FC236}">
              <a16:creationId xmlns:a16="http://schemas.microsoft.com/office/drawing/2014/main" id="{10B6654B-A256-47D8-9B57-80CF148D4A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39" name="Диаграмма 11438">
          <a:extLst>
            <a:ext uri="{FF2B5EF4-FFF2-40B4-BE49-F238E27FC236}">
              <a16:creationId xmlns:a16="http://schemas.microsoft.com/office/drawing/2014/main" id="{E329E190-5B3A-49E0-B57D-86D7A2F422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0" name="Диаграмма 11439">
          <a:extLst>
            <a:ext uri="{FF2B5EF4-FFF2-40B4-BE49-F238E27FC236}">
              <a16:creationId xmlns:a16="http://schemas.microsoft.com/office/drawing/2014/main" id="{EE318097-C761-42D3-AC9F-D663349FB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1" name="Диаграмма 11440">
          <a:extLst>
            <a:ext uri="{FF2B5EF4-FFF2-40B4-BE49-F238E27FC236}">
              <a16:creationId xmlns:a16="http://schemas.microsoft.com/office/drawing/2014/main" id="{9DE9E173-7633-4DD1-B734-9935480E7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2" name="Диаграмма 11441">
          <a:extLst>
            <a:ext uri="{FF2B5EF4-FFF2-40B4-BE49-F238E27FC236}">
              <a16:creationId xmlns:a16="http://schemas.microsoft.com/office/drawing/2014/main" id="{68DFF98A-0EAF-4717-A2E1-3CE26D9F8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3" name="Диаграмма 11442">
          <a:extLst>
            <a:ext uri="{FF2B5EF4-FFF2-40B4-BE49-F238E27FC236}">
              <a16:creationId xmlns:a16="http://schemas.microsoft.com/office/drawing/2014/main" id="{10250F2D-FCA7-4375-AAD3-2FFB8D0A4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4" name="Диаграмма 11443">
          <a:extLst>
            <a:ext uri="{FF2B5EF4-FFF2-40B4-BE49-F238E27FC236}">
              <a16:creationId xmlns:a16="http://schemas.microsoft.com/office/drawing/2014/main" id="{F2C04850-9898-4436-9B2C-2EA217F0F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5" name="Диаграмма 11444">
          <a:extLst>
            <a:ext uri="{FF2B5EF4-FFF2-40B4-BE49-F238E27FC236}">
              <a16:creationId xmlns:a16="http://schemas.microsoft.com/office/drawing/2014/main" id="{A56647ED-019D-4C1E-A35F-B44EDA375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6" name="Диаграмма 11445">
          <a:extLst>
            <a:ext uri="{FF2B5EF4-FFF2-40B4-BE49-F238E27FC236}">
              <a16:creationId xmlns:a16="http://schemas.microsoft.com/office/drawing/2014/main" id="{19FBBB94-46D4-4489-83C6-1873B4AF5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7" name="Диаграмма 11446">
          <a:extLst>
            <a:ext uri="{FF2B5EF4-FFF2-40B4-BE49-F238E27FC236}">
              <a16:creationId xmlns:a16="http://schemas.microsoft.com/office/drawing/2014/main" id="{F50634AE-9D8F-48AE-9DC9-47CE4DC5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8" name="Диаграмма 11447">
          <a:extLst>
            <a:ext uri="{FF2B5EF4-FFF2-40B4-BE49-F238E27FC236}">
              <a16:creationId xmlns:a16="http://schemas.microsoft.com/office/drawing/2014/main" id="{EAEC3FB2-C501-4E2E-A476-C87E04459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49" name="Диаграмма 11448">
          <a:extLst>
            <a:ext uri="{FF2B5EF4-FFF2-40B4-BE49-F238E27FC236}">
              <a16:creationId xmlns:a16="http://schemas.microsoft.com/office/drawing/2014/main" id="{157B3AB0-FF8D-41C9-9767-BCB7DA818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0" name="Диаграмма 11449">
          <a:extLst>
            <a:ext uri="{FF2B5EF4-FFF2-40B4-BE49-F238E27FC236}">
              <a16:creationId xmlns:a16="http://schemas.microsoft.com/office/drawing/2014/main" id="{E5BDFBAB-36BD-4052-B0C0-03B2A8ACA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1" name="Диаграмма 11450">
          <a:extLst>
            <a:ext uri="{FF2B5EF4-FFF2-40B4-BE49-F238E27FC236}">
              <a16:creationId xmlns:a16="http://schemas.microsoft.com/office/drawing/2014/main" id="{BF850003-F75F-4D13-93FD-4345722351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2" name="Диаграмма 11451">
          <a:extLst>
            <a:ext uri="{FF2B5EF4-FFF2-40B4-BE49-F238E27FC236}">
              <a16:creationId xmlns:a16="http://schemas.microsoft.com/office/drawing/2014/main" id="{7C6C32CB-D328-451A-AD1D-BCEF56D080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3" name="Диаграмма 11452">
          <a:extLst>
            <a:ext uri="{FF2B5EF4-FFF2-40B4-BE49-F238E27FC236}">
              <a16:creationId xmlns:a16="http://schemas.microsoft.com/office/drawing/2014/main" id="{B65F03A1-2F59-4EA5-9A8A-81B767061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4" name="Диаграмма 11453">
          <a:extLst>
            <a:ext uri="{FF2B5EF4-FFF2-40B4-BE49-F238E27FC236}">
              <a16:creationId xmlns:a16="http://schemas.microsoft.com/office/drawing/2014/main" id="{A97BE326-17EC-47E3-9F91-AD71D14A86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5" name="Диаграмма 11454">
          <a:extLst>
            <a:ext uri="{FF2B5EF4-FFF2-40B4-BE49-F238E27FC236}">
              <a16:creationId xmlns:a16="http://schemas.microsoft.com/office/drawing/2014/main" id="{FC5D5791-C6D1-4BD1-A7A0-449981110B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6" name="Диаграмма 11455">
          <a:extLst>
            <a:ext uri="{FF2B5EF4-FFF2-40B4-BE49-F238E27FC236}">
              <a16:creationId xmlns:a16="http://schemas.microsoft.com/office/drawing/2014/main" id="{A455B8DE-BB5D-45DB-A617-B186FFDF1C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7" name="Диаграмма 11456">
          <a:extLst>
            <a:ext uri="{FF2B5EF4-FFF2-40B4-BE49-F238E27FC236}">
              <a16:creationId xmlns:a16="http://schemas.microsoft.com/office/drawing/2014/main" id="{FFC74483-AE14-41D9-9C5B-361C32406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8" name="Диаграмма 11457">
          <a:extLst>
            <a:ext uri="{FF2B5EF4-FFF2-40B4-BE49-F238E27FC236}">
              <a16:creationId xmlns:a16="http://schemas.microsoft.com/office/drawing/2014/main" id="{1A889CB6-E4CE-4561-A460-4AEE526234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59" name="Диаграмма 11458">
          <a:extLst>
            <a:ext uri="{FF2B5EF4-FFF2-40B4-BE49-F238E27FC236}">
              <a16:creationId xmlns:a16="http://schemas.microsoft.com/office/drawing/2014/main" id="{DAF9060F-D6E3-4D85-B4C9-697874DE7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0" name="Диаграмма 11459">
          <a:extLst>
            <a:ext uri="{FF2B5EF4-FFF2-40B4-BE49-F238E27FC236}">
              <a16:creationId xmlns:a16="http://schemas.microsoft.com/office/drawing/2014/main" id="{DA2710AE-EF17-4EE9-99C0-2D42034F0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1" name="Диаграмма 11460">
          <a:extLst>
            <a:ext uri="{FF2B5EF4-FFF2-40B4-BE49-F238E27FC236}">
              <a16:creationId xmlns:a16="http://schemas.microsoft.com/office/drawing/2014/main" id="{CBEFE3C1-ABB5-4D0D-86F2-25FE8B5991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2" name="Диаграмма 11461">
          <a:extLst>
            <a:ext uri="{FF2B5EF4-FFF2-40B4-BE49-F238E27FC236}">
              <a16:creationId xmlns:a16="http://schemas.microsoft.com/office/drawing/2014/main" id="{3BBF27ED-1CC4-46A2-BD11-5DE7CAC69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3" name="Диаграмма 11462">
          <a:extLst>
            <a:ext uri="{FF2B5EF4-FFF2-40B4-BE49-F238E27FC236}">
              <a16:creationId xmlns:a16="http://schemas.microsoft.com/office/drawing/2014/main" id="{A334B467-1C08-4BB0-81D2-941A70814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4" name="Диаграмма 11463">
          <a:extLst>
            <a:ext uri="{FF2B5EF4-FFF2-40B4-BE49-F238E27FC236}">
              <a16:creationId xmlns:a16="http://schemas.microsoft.com/office/drawing/2014/main" id="{EA0C16F7-B34C-43B8-ACCB-694BB1718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5" name="Диаграмма 11464">
          <a:extLst>
            <a:ext uri="{FF2B5EF4-FFF2-40B4-BE49-F238E27FC236}">
              <a16:creationId xmlns:a16="http://schemas.microsoft.com/office/drawing/2014/main" id="{3EC2D634-F44C-46EE-88CF-301E613409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6" name="Диаграмма 11465">
          <a:extLst>
            <a:ext uri="{FF2B5EF4-FFF2-40B4-BE49-F238E27FC236}">
              <a16:creationId xmlns:a16="http://schemas.microsoft.com/office/drawing/2014/main" id="{C4D747B1-20D7-4641-BC04-DD93B34D5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7" name="Диаграмма 11466">
          <a:extLst>
            <a:ext uri="{FF2B5EF4-FFF2-40B4-BE49-F238E27FC236}">
              <a16:creationId xmlns:a16="http://schemas.microsoft.com/office/drawing/2014/main" id="{E947E4F7-B361-418D-8499-FDCF34D9C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8" name="Диаграмма 11467">
          <a:extLst>
            <a:ext uri="{FF2B5EF4-FFF2-40B4-BE49-F238E27FC236}">
              <a16:creationId xmlns:a16="http://schemas.microsoft.com/office/drawing/2014/main" id="{F64B4EE6-CEF9-4D09-A674-78E490A74A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69" name="Диаграмма 11468">
          <a:extLst>
            <a:ext uri="{FF2B5EF4-FFF2-40B4-BE49-F238E27FC236}">
              <a16:creationId xmlns:a16="http://schemas.microsoft.com/office/drawing/2014/main" id="{21675D6D-01F9-4A70-A370-51FFAB4D0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0" name="Диаграмма 11469">
          <a:extLst>
            <a:ext uri="{FF2B5EF4-FFF2-40B4-BE49-F238E27FC236}">
              <a16:creationId xmlns:a16="http://schemas.microsoft.com/office/drawing/2014/main" id="{035CE52A-F4AD-421E-8EA7-3F1EDC5F04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1" name="Диаграмма 11470">
          <a:extLst>
            <a:ext uri="{FF2B5EF4-FFF2-40B4-BE49-F238E27FC236}">
              <a16:creationId xmlns:a16="http://schemas.microsoft.com/office/drawing/2014/main" id="{8A3BF29B-9E28-4572-BF24-AE5CE2820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2" name="Диаграмма 11471">
          <a:extLst>
            <a:ext uri="{FF2B5EF4-FFF2-40B4-BE49-F238E27FC236}">
              <a16:creationId xmlns:a16="http://schemas.microsoft.com/office/drawing/2014/main" id="{854EBBBC-A32C-4956-9503-68CDAF4A7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3" name="Диаграмма 11472">
          <a:extLst>
            <a:ext uri="{FF2B5EF4-FFF2-40B4-BE49-F238E27FC236}">
              <a16:creationId xmlns:a16="http://schemas.microsoft.com/office/drawing/2014/main" id="{B20F22A7-A3E8-41D4-A98F-13C1A6108C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4" name="Диаграмма 11473">
          <a:extLst>
            <a:ext uri="{FF2B5EF4-FFF2-40B4-BE49-F238E27FC236}">
              <a16:creationId xmlns:a16="http://schemas.microsoft.com/office/drawing/2014/main" id="{B4CCDECC-5C7B-4B41-B04E-B5D61909D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5" name="Диаграмма 11474">
          <a:extLst>
            <a:ext uri="{FF2B5EF4-FFF2-40B4-BE49-F238E27FC236}">
              <a16:creationId xmlns:a16="http://schemas.microsoft.com/office/drawing/2014/main" id="{1929138A-6B1D-4CD0-A426-D873CCA0E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6" name="Диаграмма 11475">
          <a:extLst>
            <a:ext uri="{FF2B5EF4-FFF2-40B4-BE49-F238E27FC236}">
              <a16:creationId xmlns:a16="http://schemas.microsoft.com/office/drawing/2014/main" id="{CF94A8D7-3D62-4644-BF35-BBC95DB24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7" name="Диаграмма 11476">
          <a:extLst>
            <a:ext uri="{FF2B5EF4-FFF2-40B4-BE49-F238E27FC236}">
              <a16:creationId xmlns:a16="http://schemas.microsoft.com/office/drawing/2014/main" id="{2AB48D1B-9289-41C8-BF49-CEB24C8AE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8" name="Диаграмма 11477">
          <a:extLst>
            <a:ext uri="{FF2B5EF4-FFF2-40B4-BE49-F238E27FC236}">
              <a16:creationId xmlns:a16="http://schemas.microsoft.com/office/drawing/2014/main" id="{0B381F54-9A59-4CD6-96AC-2BDB3CD2B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79" name="Диаграмма 11478">
          <a:extLst>
            <a:ext uri="{FF2B5EF4-FFF2-40B4-BE49-F238E27FC236}">
              <a16:creationId xmlns:a16="http://schemas.microsoft.com/office/drawing/2014/main" id="{01590582-6DE1-443A-8A45-413590C93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0" name="Диаграмма 11479">
          <a:extLst>
            <a:ext uri="{FF2B5EF4-FFF2-40B4-BE49-F238E27FC236}">
              <a16:creationId xmlns:a16="http://schemas.microsoft.com/office/drawing/2014/main" id="{D9B54DD9-2AA3-459B-BC18-8CC8735F7E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1" name="Диаграмма 11480">
          <a:extLst>
            <a:ext uri="{FF2B5EF4-FFF2-40B4-BE49-F238E27FC236}">
              <a16:creationId xmlns:a16="http://schemas.microsoft.com/office/drawing/2014/main" id="{E94AB842-7151-49EB-B949-05E29B8BA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2" name="Диаграмма 11481">
          <a:extLst>
            <a:ext uri="{FF2B5EF4-FFF2-40B4-BE49-F238E27FC236}">
              <a16:creationId xmlns:a16="http://schemas.microsoft.com/office/drawing/2014/main" id="{CAE35D59-8677-4E19-9158-5008AA98C0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3" name="Диаграмма 11482">
          <a:extLst>
            <a:ext uri="{FF2B5EF4-FFF2-40B4-BE49-F238E27FC236}">
              <a16:creationId xmlns:a16="http://schemas.microsoft.com/office/drawing/2014/main" id="{994E9D32-DBDC-4916-9A2E-63B7E3C17F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4" name="Диаграмма 11483">
          <a:extLst>
            <a:ext uri="{FF2B5EF4-FFF2-40B4-BE49-F238E27FC236}">
              <a16:creationId xmlns:a16="http://schemas.microsoft.com/office/drawing/2014/main" id="{50779A44-1620-4EAC-B1D5-3727C35E8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5" name="Диаграмма 11484">
          <a:extLst>
            <a:ext uri="{FF2B5EF4-FFF2-40B4-BE49-F238E27FC236}">
              <a16:creationId xmlns:a16="http://schemas.microsoft.com/office/drawing/2014/main" id="{D02E3522-0AA8-4C95-9AC9-E0AE8ED0E2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6" name="Диаграмма 11485">
          <a:extLst>
            <a:ext uri="{FF2B5EF4-FFF2-40B4-BE49-F238E27FC236}">
              <a16:creationId xmlns:a16="http://schemas.microsoft.com/office/drawing/2014/main" id="{EFB8B90B-44A2-452F-8F12-9475666C5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7" name="Диаграмма 11486">
          <a:extLst>
            <a:ext uri="{FF2B5EF4-FFF2-40B4-BE49-F238E27FC236}">
              <a16:creationId xmlns:a16="http://schemas.microsoft.com/office/drawing/2014/main" id="{73E64ED3-B504-4154-BB5B-6373B3C9CC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8" name="Диаграмма 11487">
          <a:extLst>
            <a:ext uri="{FF2B5EF4-FFF2-40B4-BE49-F238E27FC236}">
              <a16:creationId xmlns:a16="http://schemas.microsoft.com/office/drawing/2014/main" id="{7199746D-6C1E-4BD1-AD76-BFC1B84F8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89" name="Диаграмма 11488">
          <a:extLst>
            <a:ext uri="{FF2B5EF4-FFF2-40B4-BE49-F238E27FC236}">
              <a16:creationId xmlns:a16="http://schemas.microsoft.com/office/drawing/2014/main" id="{19494E90-E557-4A54-BB18-92AB29504E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0" name="Диаграмма 11489">
          <a:extLst>
            <a:ext uri="{FF2B5EF4-FFF2-40B4-BE49-F238E27FC236}">
              <a16:creationId xmlns:a16="http://schemas.microsoft.com/office/drawing/2014/main" id="{86CD8475-18D2-4914-9583-655DAA1E14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1" name="Диаграмма 11490">
          <a:extLst>
            <a:ext uri="{FF2B5EF4-FFF2-40B4-BE49-F238E27FC236}">
              <a16:creationId xmlns:a16="http://schemas.microsoft.com/office/drawing/2014/main" id="{AC002B11-406B-4BA3-B4AE-9A6703FAA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2" name="Диаграмма 11491">
          <a:extLst>
            <a:ext uri="{FF2B5EF4-FFF2-40B4-BE49-F238E27FC236}">
              <a16:creationId xmlns:a16="http://schemas.microsoft.com/office/drawing/2014/main" id="{8C89A52D-D984-4192-A7B5-613130081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3" name="Диаграмма 11492">
          <a:extLst>
            <a:ext uri="{FF2B5EF4-FFF2-40B4-BE49-F238E27FC236}">
              <a16:creationId xmlns:a16="http://schemas.microsoft.com/office/drawing/2014/main" id="{9397DB55-21E7-42D0-82F8-D34EC37F1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4" name="Диаграмма 11493">
          <a:extLst>
            <a:ext uri="{FF2B5EF4-FFF2-40B4-BE49-F238E27FC236}">
              <a16:creationId xmlns:a16="http://schemas.microsoft.com/office/drawing/2014/main" id="{6ED40300-5480-447C-9DD8-0ABB161195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5" name="Диаграмма 11494">
          <a:extLst>
            <a:ext uri="{FF2B5EF4-FFF2-40B4-BE49-F238E27FC236}">
              <a16:creationId xmlns:a16="http://schemas.microsoft.com/office/drawing/2014/main" id="{3C49FFF2-9CF0-42C0-9732-310307A81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6" name="Диаграмма 11495">
          <a:extLst>
            <a:ext uri="{FF2B5EF4-FFF2-40B4-BE49-F238E27FC236}">
              <a16:creationId xmlns:a16="http://schemas.microsoft.com/office/drawing/2014/main" id="{8A0EE8A6-E8F7-4544-A236-51D45A865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7" name="Диаграмма 11496">
          <a:extLst>
            <a:ext uri="{FF2B5EF4-FFF2-40B4-BE49-F238E27FC236}">
              <a16:creationId xmlns:a16="http://schemas.microsoft.com/office/drawing/2014/main" id="{6FE46459-CE58-4EF9-8534-8118EF27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8" name="Диаграмма 11497">
          <a:extLst>
            <a:ext uri="{FF2B5EF4-FFF2-40B4-BE49-F238E27FC236}">
              <a16:creationId xmlns:a16="http://schemas.microsoft.com/office/drawing/2014/main" id="{E9BEA826-691C-43B9-BC5B-32140B2A9E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499" name="Диаграмма 11498">
          <a:extLst>
            <a:ext uri="{FF2B5EF4-FFF2-40B4-BE49-F238E27FC236}">
              <a16:creationId xmlns:a16="http://schemas.microsoft.com/office/drawing/2014/main" id="{771E56DC-43C9-4A1C-86F6-FA94B3538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0" name="Диаграмма 11499">
          <a:extLst>
            <a:ext uri="{FF2B5EF4-FFF2-40B4-BE49-F238E27FC236}">
              <a16:creationId xmlns:a16="http://schemas.microsoft.com/office/drawing/2014/main" id="{5E4B5405-B46A-41D7-B4B9-D274D0DC3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1" name="Диаграмма 11500">
          <a:extLst>
            <a:ext uri="{FF2B5EF4-FFF2-40B4-BE49-F238E27FC236}">
              <a16:creationId xmlns:a16="http://schemas.microsoft.com/office/drawing/2014/main" id="{6A1493CA-B143-4D18-8051-44DF2317C4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2" name="Диаграмма 11501">
          <a:extLst>
            <a:ext uri="{FF2B5EF4-FFF2-40B4-BE49-F238E27FC236}">
              <a16:creationId xmlns:a16="http://schemas.microsoft.com/office/drawing/2014/main" id="{2040E2C1-DB98-495D-B656-2074EC8EE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3" name="Диаграмма 11502">
          <a:extLst>
            <a:ext uri="{FF2B5EF4-FFF2-40B4-BE49-F238E27FC236}">
              <a16:creationId xmlns:a16="http://schemas.microsoft.com/office/drawing/2014/main" id="{5F997ADE-C969-4B85-9A4B-A9C239CEC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4" name="Диаграмма 11503">
          <a:extLst>
            <a:ext uri="{FF2B5EF4-FFF2-40B4-BE49-F238E27FC236}">
              <a16:creationId xmlns:a16="http://schemas.microsoft.com/office/drawing/2014/main" id="{B210E1BD-3F52-4FCE-A120-5A935FCE4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5" name="Диаграмма 11504">
          <a:extLst>
            <a:ext uri="{FF2B5EF4-FFF2-40B4-BE49-F238E27FC236}">
              <a16:creationId xmlns:a16="http://schemas.microsoft.com/office/drawing/2014/main" id="{12ED5091-EEF8-44AA-ADA0-3C26BAC0FC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6" name="Диаграмма 11505">
          <a:extLst>
            <a:ext uri="{FF2B5EF4-FFF2-40B4-BE49-F238E27FC236}">
              <a16:creationId xmlns:a16="http://schemas.microsoft.com/office/drawing/2014/main" id="{EF4BCB8C-AD69-4F66-AFB6-00A8CA8E1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7" name="Диаграмма 11506">
          <a:extLst>
            <a:ext uri="{FF2B5EF4-FFF2-40B4-BE49-F238E27FC236}">
              <a16:creationId xmlns:a16="http://schemas.microsoft.com/office/drawing/2014/main" id="{CED84031-8BCB-49E2-B8F1-A997E620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8" name="Диаграмма 11507">
          <a:extLst>
            <a:ext uri="{FF2B5EF4-FFF2-40B4-BE49-F238E27FC236}">
              <a16:creationId xmlns:a16="http://schemas.microsoft.com/office/drawing/2014/main" id="{2D4EDA0C-3FAD-4B7A-A201-536600D014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09" name="Диаграмма 11508">
          <a:extLst>
            <a:ext uri="{FF2B5EF4-FFF2-40B4-BE49-F238E27FC236}">
              <a16:creationId xmlns:a16="http://schemas.microsoft.com/office/drawing/2014/main" id="{08AE8091-C2D6-4051-9800-AE9071707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0" name="Диаграмма 11509">
          <a:extLst>
            <a:ext uri="{FF2B5EF4-FFF2-40B4-BE49-F238E27FC236}">
              <a16:creationId xmlns:a16="http://schemas.microsoft.com/office/drawing/2014/main" id="{94EDCA6E-8E8D-4311-8B34-8C6CA88FFF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1" name="Диаграмма 11510">
          <a:extLst>
            <a:ext uri="{FF2B5EF4-FFF2-40B4-BE49-F238E27FC236}">
              <a16:creationId xmlns:a16="http://schemas.microsoft.com/office/drawing/2014/main" id="{782EFB99-5591-43CC-AC68-3579EFDB3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2" name="Диаграмма 11511">
          <a:extLst>
            <a:ext uri="{FF2B5EF4-FFF2-40B4-BE49-F238E27FC236}">
              <a16:creationId xmlns:a16="http://schemas.microsoft.com/office/drawing/2014/main" id="{24BB95E8-857F-4470-8F9C-46D3349C5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3" name="Диаграмма 11512">
          <a:extLst>
            <a:ext uri="{FF2B5EF4-FFF2-40B4-BE49-F238E27FC236}">
              <a16:creationId xmlns:a16="http://schemas.microsoft.com/office/drawing/2014/main" id="{8C744FD7-867A-4146-8689-889DF4F61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4" name="Диаграмма 11513">
          <a:extLst>
            <a:ext uri="{FF2B5EF4-FFF2-40B4-BE49-F238E27FC236}">
              <a16:creationId xmlns:a16="http://schemas.microsoft.com/office/drawing/2014/main" id="{E0A6FEF8-857F-44C0-A7BA-ACA3A1711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5" name="Диаграмма 11514">
          <a:extLst>
            <a:ext uri="{FF2B5EF4-FFF2-40B4-BE49-F238E27FC236}">
              <a16:creationId xmlns:a16="http://schemas.microsoft.com/office/drawing/2014/main" id="{2955009F-8B13-4810-B4BB-A97E85243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6" name="Диаграмма 11515">
          <a:extLst>
            <a:ext uri="{FF2B5EF4-FFF2-40B4-BE49-F238E27FC236}">
              <a16:creationId xmlns:a16="http://schemas.microsoft.com/office/drawing/2014/main" id="{8A615F88-EB6E-425E-AEB4-1FE936F5C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7" name="Диаграмма 11516">
          <a:extLst>
            <a:ext uri="{FF2B5EF4-FFF2-40B4-BE49-F238E27FC236}">
              <a16:creationId xmlns:a16="http://schemas.microsoft.com/office/drawing/2014/main" id="{F18E6BB1-F6D7-4650-B93A-8012B5EAF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8" name="Диаграмма 11517">
          <a:extLst>
            <a:ext uri="{FF2B5EF4-FFF2-40B4-BE49-F238E27FC236}">
              <a16:creationId xmlns:a16="http://schemas.microsoft.com/office/drawing/2014/main" id="{1E4675D6-AF68-4B67-A6AA-01A5CFCD7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19" name="Диаграмма 11518">
          <a:extLst>
            <a:ext uri="{FF2B5EF4-FFF2-40B4-BE49-F238E27FC236}">
              <a16:creationId xmlns:a16="http://schemas.microsoft.com/office/drawing/2014/main" id="{91B40CAD-6EEC-4F19-ABC6-366F42869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0" name="Диаграмма 11519">
          <a:extLst>
            <a:ext uri="{FF2B5EF4-FFF2-40B4-BE49-F238E27FC236}">
              <a16:creationId xmlns:a16="http://schemas.microsoft.com/office/drawing/2014/main" id="{851DD807-D9D1-439C-9921-87D178AA42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1" name="Диаграмма 11520">
          <a:extLst>
            <a:ext uri="{FF2B5EF4-FFF2-40B4-BE49-F238E27FC236}">
              <a16:creationId xmlns:a16="http://schemas.microsoft.com/office/drawing/2014/main" id="{95254E42-69F4-4AE5-9D2C-73C0E7C0E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2" name="Диаграмма 11521">
          <a:extLst>
            <a:ext uri="{FF2B5EF4-FFF2-40B4-BE49-F238E27FC236}">
              <a16:creationId xmlns:a16="http://schemas.microsoft.com/office/drawing/2014/main" id="{28F51D0B-5C83-4837-96F6-909879035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3" name="Диаграмма 11522">
          <a:extLst>
            <a:ext uri="{FF2B5EF4-FFF2-40B4-BE49-F238E27FC236}">
              <a16:creationId xmlns:a16="http://schemas.microsoft.com/office/drawing/2014/main" id="{9B258393-FDE6-4F74-8817-5BE3DE74A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4" name="Диаграмма 11523">
          <a:extLst>
            <a:ext uri="{FF2B5EF4-FFF2-40B4-BE49-F238E27FC236}">
              <a16:creationId xmlns:a16="http://schemas.microsoft.com/office/drawing/2014/main" id="{862EBB77-A598-48E2-90CB-0A26B75D5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5" name="Диаграмма 11524">
          <a:extLst>
            <a:ext uri="{FF2B5EF4-FFF2-40B4-BE49-F238E27FC236}">
              <a16:creationId xmlns:a16="http://schemas.microsoft.com/office/drawing/2014/main" id="{7D37B2AC-B512-4015-9418-B189D3CD7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6" name="Диаграмма 11525">
          <a:extLst>
            <a:ext uri="{FF2B5EF4-FFF2-40B4-BE49-F238E27FC236}">
              <a16:creationId xmlns:a16="http://schemas.microsoft.com/office/drawing/2014/main" id="{3AE20E42-5EFB-45AF-B28C-686CA5EAF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7" name="Диаграмма 11526">
          <a:extLst>
            <a:ext uri="{FF2B5EF4-FFF2-40B4-BE49-F238E27FC236}">
              <a16:creationId xmlns:a16="http://schemas.microsoft.com/office/drawing/2014/main" id="{1E97949D-5766-4A6D-828D-31CEC2C4F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8" name="Диаграмма 11527">
          <a:extLst>
            <a:ext uri="{FF2B5EF4-FFF2-40B4-BE49-F238E27FC236}">
              <a16:creationId xmlns:a16="http://schemas.microsoft.com/office/drawing/2014/main" id="{DA666C05-D941-4E0B-AE1B-3C1E976E0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29" name="Диаграмма 11528">
          <a:extLst>
            <a:ext uri="{FF2B5EF4-FFF2-40B4-BE49-F238E27FC236}">
              <a16:creationId xmlns:a16="http://schemas.microsoft.com/office/drawing/2014/main" id="{BFBF5CA5-F208-4569-9C57-745F199B2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0" name="Диаграмма 11529">
          <a:extLst>
            <a:ext uri="{FF2B5EF4-FFF2-40B4-BE49-F238E27FC236}">
              <a16:creationId xmlns:a16="http://schemas.microsoft.com/office/drawing/2014/main" id="{20264107-EA9B-4A19-AFDF-3B8716E0B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1" name="Диаграмма 11530">
          <a:extLst>
            <a:ext uri="{FF2B5EF4-FFF2-40B4-BE49-F238E27FC236}">
              <a16:creationId xmlns:a16="http://schemas.microsoft.com/office/drawing/2014/main" id="{52119DC0-8E91-4ECE-B2E2-C4692F0F2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2" name="Диаграмма 11531">
          <a:extLst>
            <a:ext uri="{FF2B5EF4-FFF2-40B4-BE49-F238E27FC236}">
              <a16:creationId xmlns:a16="http://schemas.microsoft.com/office/drawing/2014/main" id="{86F770ED-0265-4D52-BBFB-59C8859FFC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3" name="Диаграмма 11532">
          <a:extLst>
            <a:ext uri="{FF2B5EF4-FFF2-40B4-BE49-F238E27FC236}">
              <a16:creationId xmlns:a16="http://schemas.microsoft.com/office/drawing/2014/main" id="{58DC1203-7338-469E-A26F-17869A60D4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4" name="Диаграмма 11533">
          <a:extLst>
            <a:ext uri="{FF2B5EF4-FFF2-40B4-BE49-F238E27FC236}">
              <a16:creationId xmlns:a16="http://schemas.microsoft.com/office/drawing/2014/main" id="{9640AF8F-0521-4BF1-9AA7-51D9B9970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5" name="Диаграмма 11534">
          <a:extLst>
            <a:ext uri="{FF2B5EF4-FFF2-40B4-BE49-F238E27FC236}">
              <a16:creationId xmlns:a16="http://schemas.microsoft.com/office/drawing/2014/main" id="{CD19CF26-2F06-4F5E-AC3C-66273B21E3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6" name="Диаграмма 11535">
          <a:extLst>
            <a:ext uri="{FF2B5EF4-FFF2-40B4-BE49-F238E27FC236}">
              <a16:creationId xmlns:a16="http://schemas.microsoft.com/office/drawing/2014/main" id="{758B913A-CFC4-4F94-A31B-B8DA40A5D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7" name="Диаграмма 11536">
          <a:extLst>
            <a:ext uri="{FF2B5EF4-FFF2-40B4-BE49-F238E27FC236}">
              <a16:creationId xmlns:a16="http://schemas.microsoft.com/office/drawing/2014/main" id="{A30B93FF-3E6F-463A-99B7-F6CA1BB5B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8" name="Диаграмма 11537">
          <a:extLst>
            <a:ext uri="{FF2B5EF4-FFF2-40B4-BE49-F238E27FC236}">
              <a16:creationId xmlns:a16="http://schemas.microsoft.com/office/drawing/2014/main" id="{FDE585F8-3E6F-4F21-95E0-9A7194F2E3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39" name="Диаграмма 11538">
          <a:extLst>
            <a:ext uri="{FF2B5EF4-FFF2-40B4-BE49-F238E27FC236}">
              <a16:creationId xmlns:a16="http://schemas.microsoft.com/office/drawing/2014/main" id="{51B0B192-AD91-4824-890F-C5D9A85C8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0" name="Диаграмма 11539">
          <a:extLst>
            <a:ext uri="{FF2B5EF4-FFF2-40B4-BE49-F238E27FC236}">
              <a16:creationId xmlns:a16="http://schemas.microsoft.com/office/drawing/2014/main" id="{E89C0194-3B7C-4F19-9406-645F242EE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1" name="Диаграмма 11540">
          <a:extLst>
            <a:ext uri="{FF2B5EF4-FFF2-40B4-BE49-F238E27FC236}">
              <a16:creationId xmlns:a16="http://schemas.microsoft.com/office/drawing/2014/main" id="{611BAC61-992B-4AAE-B22A-E656E3E6D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2" name="Диаграмма 11541">
          <a:extLst>
            <a:ext uri="{FF2B5EF4-FFF2-40B4-BE49-F238E27FC236}">
              <a16:creationId xmlns:a16="http://schemas.microsoft.com/office/drawing/2014/main" id="{CDEB0465-7082-47ED-BDE1-B2E538F1A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3" name="Диаграмма 11542">
          <a:extLst>
            <a:ext uri="{FF2B5EF4-FFF2-40B4-BE49-F238E27FC236}">
              <a16:creationId xmlns:a16="http://schemas.microsoft.com/office/drawing/2014/main" id="{9FD41487-FCE8-40CB-B911-635F894C1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4" name="Диаграмма 11543">
          <a:extLst>
            <a:ext uri="{FF2B5EF4-FFF2-40B4-BE49-F238E27FC236}">
              <a16:creationId xmlns:a16="http://schemas.microsoft.com/office/drawing/2014/main" id="{B461956D-4302-4A39-9D34-F9E0708CB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5" name="Диаграмма 11544">
          <a:extLst>
            <a:ext uri="{FF2B5EF4-FFF2-40B4-BE49-F238E27FC236}">
              <a16:creationId xmlns:a16="http://schemas.microsoft.com/office/drawing/2014/main" id="{654FAC18-C73D-4BEB-BBE4-C42B9048E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6" name="Диаграмма 11545">
          <a:extLst>
            <a:ext uri="{FF2B5EF4-FFF2-40B4-BE49-F238E27FC236}">
              <a16:creationId xmlns:a16="http://schemas.microsoft.com/office/drawing/2014/main" id="{5F98865B-80AB-4C1D-82A1-885864B18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7" name="Диаграмма 11546">
          <a:extLst>
            <a:ext uri="{FF2B5EF4-FFF2-40B4-BE49-F238E27FC236}">
              <a16:creationId xmlns:a16="http://schemas.microsoft.com/office/drawing/2014/main" id="{75358A88-9B9C-4782-BA14-3556002AA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8" name="Диаграмма 11547">
          <a:extLst>
            <a:ext uri="{FF2B5EF4-FFF2-40B4-BE49-F238E27FC236}">
              <a16:creationId xmlns:a16="http://schemas.microsoft.com/office/drawing/2014/main" id="{B77A0138-D6F6-4ED6-BD73-1CE30EAA7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49" name="Диаграмма 11548">
          <a:extLst>
            <a:ext uri="{FF2B5EF4-FFF2-40B4-BE49-F238E27FC236}">
              <a16:creationId xmlns:a16="http://schemas.microsoft.com/office/drawing/2014/main" id="{D62352E3-4FFA-458D-AB74-DC796518B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0" name="Диаграмма 11549">
          <a:extLst>
            <a:ext uri="{FF2B5EF4-FFF2-40B4-BE49-F238E27FC236}">
              <a16:creationId xmlns:a16="http://schemas.microsoft.com/office/drawing/2014/main" id="{83635905-0F44-453A-B364-5988F5CD5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1" name="Диаграмма 11550">
          <a:extLst>
            <a:ext uri="{FF2B5EF4-FFF2-40B4-BE49-F238E27FC236}">
              <a16:creationId xmlns:a16="http://schemas.microsoft.com/office/drawing/2014/main" id="{56CE6F0A-BEA7-4435-91AB-C0270CC850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2" name="Диаграмма 11551">
          <a:extLst>
            <a:ext uri="{FF2B5EF4-FFF2-40B4-BE49-F238E27FC236}">
              <a16:creationId xmlns:a16="http://schemas.microsoft.com/office/drawing/2014/main" id="{9764A1BF-A380-4DAC-A7E6-BF38F8CF3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3" name="Диаграмма 11552">
          <a:extLst>
            <a:ext uri="{FF2B5EF4-FFF2-40B4-BE49-F238E27FC236}">
              <a16:creationId xmlns:a16="http://schemas.microsoft.com/office/drawing/2014/main" id="{1844730F-915C-4A08-8CEA-A6BD4869D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4" name="Диаграмма 11553">
          <a:extLst>
            <a:ext uri="{FF2B5EF4-FFF2-40B4-BE49-F238E27FC236}">
              <a16:creationId xmlns:a16="http://schemas.microsoft.com/office/drawing/2014/main" id="{6B611861-866D-4F0C-BD5C-D049212F7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5" name="Диаграмма 11554">
          <a:extLst>
            <a:ext uri="{FF2B5EF4-FFF2-40B4-BE49-F238E27FC236}">
              <a16:creationId xmlns:a16="http://schemas.microsoft.com/office/drawing/2014/main" id="{21EC4FAE-CFB3-4D95-96F7-3D156EACE8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6" name="Диаграмма 11555">
          <a:extLst>
            <a:ext uri="{FF2B5EF4-FFF2-40B4-BE49-F238E27FC236}">
              <a16:creationId xmlns:a16="http://schemas.microsoft.com/office/drawing/2014/main" id="{AA471BE6-B2C2-46FD-B525-383BE5A02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7" name="Диаграмма 11556">
          <a:extLst>
            <a:ext uri="{FF2B5EF4-FFF2-40B4-BE49-F238E27FC236}">
              <a16:creationId xmlns:a16="http://schemas.microsoft.com/office/drawing/2014/main" id="{105FEEA6-E20E-45C8-B467-9D8B2B857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8" name="Диаграмма 11557">
          <a:extLst>
            <a:ext uri="{FF2B5EF4-FFF2-40B4-BE49-F238E27FC236}">
              <a16:creationId xmlns:a16="http://schemas.microsoft.com/office/drawing/2014/main" id="{5CB2A2BE-9DC1-45F1-A784-662A9009C2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59" name="Диаграмма 11558">
          <a:extLst>
            <a:ext uri="{FF2B5EF4-FFF2-40B4-BE49-F238E27FC236}">
              <a16:creationId xmlns:a16="http://schemas.microsoft.com/office/drawing/2014/main" id="{35F07680-F379-4EBF-8B4C-AEDD23C5B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0" name="Диаграмма 11559">
          <a:extLst>
            <a:ext uri="{FF2B5EF4-FFF2-40B4-BE49-F238E27FC236}">
              <a16:creationId xmlns:a16="http://schemas.microsoft.com/office/drawing/2014/main" id="{62821DF3-5829-429A-A5AA-7EABB8398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1" name="Диаграмма 11560">
          <a:extLst>
            <a:ext uri="{FF2B5EF4-FFF2-40B4-BE49-F238E27FC236}">
              <a16:creationId xmlns:a16="http://schemas.microsoft.com/office/drawing/2014/main" id="{20B907E4-63F2-46E1-B0E8-1B82B9EF6C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2" name="Диаграмма 11561">
          <a:extLst>
            <a:ext uri="{FF2B5EF4-FFF2-40B4-BE49-F238E27FC236}">
              <a16:creationId xmlns:a16="http://schemas.microsoft.com/office/drawing/2014/main" id="{1C2B7E34-2044-46CE-A09B-81D5870916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3" name="Диаграмма 11562">
          <a:extLst>
            <a:ext uri="{FF2B5EF4-FFF2-40B4-BE49-F238E27FC236}">
              <a16:creationId xmlns:a16="http://schemas.microsoft.com/office/drawing/2014/main" id="{85DE1546-86FC-45F4-AAC5-A142CF080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4" name="Диаграмма 11563">
          <a:extLst>
            <a:ext uri="{FF2B5EF4-FFF2-40B4-BE49-F238E27FC236}">
              <a16:creationId xmlns:a16="http://schemas.microsoft.com/office/drawing/2014/main" id="{EFA7F0F7-B804-4FFC-B6AF-2F3694E63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5" name="Диаграмма 11564">
          <a:extLst>
            <a:ext uri="{FF2B5EF4-FFF2-40B4-BE49-F238E27FC236}">
              <a16:creationId xmlns:a16="http://schemas.microsoft.com/office/drawing/2014/main" id="{14F2FA8A-55B7-49A7-A1B2-C2278E060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6" name="Диаграмма 11565">
          <a:extLst>
            <a:ext uri="{FF2B5EF4-FFF2-40B4-BE49-F238E27FC236}">
              <a16:creationId xmlns:a16="http://schemas.microsoft.com/office/drawing/2014/main" id="{5307CC73-ADDF-499D-8AB8-867535A8F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7" name="Диаграмма 11566">
          <a:extLst>
            <a:ext uri="{FF2B5EF4-FFF2-40B4-BE49-F238E27FC236}">
              <a16:creationId xmlns:a16="http://schemas.microsoft.com/office/drawing/2014/main" id="{882FB336-1625-49DF-8C18-81F6230E1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8" name="Диаграмма 11567">
          <a:extLst>
            <a:ext uri="{FF2B5EF4-FFF2-40B4-BE49-F238E27FC236}">
              <a16:creationId xmlns:a16="http://schemas.microsoft.com/office/drawing/2014/main" id="{EBE78036-0412-4EF6-9DDF-F7AAA9F0B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69" name="Диаграмма 11568">
          <a:extLst>
            <a:ext uri="{FF2B5EF4-FFF2-40B4-BE49-F238E27FC236}">
              <a16:creationId xmlns:a16="http://schemas.microsoft.com/office/drawing/2014/main" id="{5380331B-6B3E-4DE8-A3E5-88C015CEA9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0" name="Диаграмма 11569">
          <a:extLst>
            <a:ext uri="{FF2B5EF4-FFF2-40B4-BE49-F238E27FC236}">
              <a16:creationId xmlns:a16="http://schemas.microsoft.com/office/drawing/2014/main" id="{18127AB9-9983-4ECD-A85A-F96FF652C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1" name="Диаграмма 11570">
          <a:extLst>
            <a:ext uri="{FF2B5EF4-FFF2-40B4-BE49-F238E27FC236}">
              <a16:creationId xmlns:a16="http://schemas.microsoft.com/office/drawing/2014/main" id="{176B166B-8942-4F29-B0EF-5E38978AF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2" name="Диаграмма 11571">
          <a:extLst>
            <a:ext uri="{FF2B5EF4-FFF2-40B4-BE49-F238E27FC236}">
              <a16:creationId xmlns:a16="http://schemas.microsoft.com/office/drawing/2014/main" id="{81422930-F908-4A9A-9703-C13BF4898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3" name="Диаграмма 11572">
          <a:extLst>
            <a:ext uri="{FF2B5EF4-FFF2-40B4-BE49-F238E27FC236}">
              <a16:creationId xmlns:a16="http://schemas.microsoft.com/office/drawing/2014/main" id="{0868AD1F-6004-45B0-BAEF-F0EA0094D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4" name="Диаграмма 11573">
          <a:extLst>
            <a:ext uri="{FF2B5EF4-FFF2-40B4-BE49-F238E27FC236}">
              <a16:creationId xmlns:a16="http://schemas.microsoft.com/office/drawing/2014/main" id="{E93D240E-5445-4536-B7AB-58D4AC632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5" name="Диаграмма 11574">
          <a:extLst>
            <a:ext uri="{FF2B5EF4-FFF2-40B4-BE49-F238E27FC236}">
              <a16:creationId xmlns:a16="http://schemas.microsoft.com/office/drawing/2014/main" id="{7C7FCC4A-2D35-4F9B-B025-6DB33F97B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6" name="Диаграмма 11575">
          <a:extLst>
            <a:ext uri="{FF2B5EF4-FFF2-40B4-BE49-F238E27FC236}">
              <a16:creationId xmlns:a16="http://schemas.microsoft.com/office/drawing/2014/main" id="{3E5C6718-0DA6-40C0-B854-19F67E01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7" name="Диаграмма 11576">
          <a:extLst>
            <a:ext uri="{FF2B5EF4-FFF2-40B4-BE49-F238E27FC236}">
              <a16:creationId xmlns:a16="http://schemas.microsoft.com/office/drawing/2014/main" id="{35278844-586B-469B-BC78-FA04FDA6D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8" name="Диаграмма 11577">
          <a:extLst>
            <a:ext uri="{FF2B5EF4-FFF2-40B4-BE49-F238E27FC236}">
              <a16:creationId xmlns:a16="http://schemas.microsoft.com/office/drawing/2014/main" id="{8FC8E3D9-8D74-4528-A71E-8B6B9997B4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79" name="Диаграмма 11578">
          <a:extLst>
            <a:ext uri="{FF2B5EF4-FFF2-40B4-BE49-F238E27FC236}">
              <a16:creationId xmlns:a16="http://schemas.microsoft.com/office/drawing/2014/main" id="{F4F94141-5C98-4D28-8EC2-72A88B405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0" name="Диаграмма 11579">
          <a:extLst>
            <a:ext uri="{FF2B5EF4-FFF2-40B4-BE49-F238E27FC236}">
              <a16:creationId xmlns:a16="http://schemas.microsoft.com/office/drawing/2014/main" id="{8794D360-42DA-40F0-905C-4A331DB2C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1" name="Диаграмма 11580">
          <a:extLst>
            <a:ext uri="{FF2B5EF4-FFF2-40B4-BE49-F238E27FC236}">
              <a16:creationId xmlns:a16="http://schemas.microsoft.com/office/drawing/2014/main" id="{A3A60251-14BB-46CE-8663-D0F5AD586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2" name="Диаграмма 11581">
          <a:extLst>
            <a:ext uri="{FF2B5EF4-FFF2-40B4-BE49-F238E27FC236}">
              <a16:creationId xmlns:a16="http://schemas.microsoft.com/office/drawing/2014/main" id="{34540F3E-B051-4373-B768-64CA2E092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3" name="Диаграмма 11582">
          <a:extLst>
            <a:ext uri="{FF2B5EF4-FFF2-40B4-BE49-F238E27FC236}">
              <a16:creationId xmlns:a16="http://schemas.microsoft.com/office/drawing/2014/main" id="{F11D2D1D-8B66-479D-A12D-5792D60AB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4" name="Диаграмма 11583">
          <a:extLst>
            <a:ext uri="{FF2B5EF4-FFF2-40B4-BE49-F238E27FC236}">
              <a16:creationId xmlns:a16="http://schemas.microsoft.com/office/drawing/2014/main" id="{BEB68F95-31B1-4E27-BF0F-D4A6D7E07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5" name="Диаграмма 11584">
          <a:extLst>
            <a:ext uri="{FF2B5EF4-FFF2-40B4-BE49-F238E27FC236}">
              <a16:creationId xmlns:a16="http://schemas.microsoft.com/office/drawing/2014/main" id="{BE26D9B7-28AD-4A64-A2AC-63C13ACC7D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6" name="Диаграмма 11585">
          <a:extLst>
            <a:ext uri="{FF2B5EF4-FFF2-40B4-BE49-F238E27FC236}">
              <a16:creationId xmlns:a16="http://schemas.microsoft.com/office/drawing/2014/main" id="{86C2F400-71DA-407A-8226-3941D404D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7" name="Диаграмма 11586">
          <a:extLst>
            <a:ext uri="{FF2B5EF4-FFF2-40B4-BE49-F238E27FC236}">
              <a16:creationId xmlns:a16="http://schemas.microsoft.com/office/drawing/2014/main" id="{02060E3A-4789-47C5-B84B-90A58B2FCE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8" name="Диаграмма 11587">
          <a:extLst>
            <a:ext uri="{FF2B5EF4-FFF2-40B4-BE49-F238E27FC236}">
              <a16:creationId xmlns:a16="http://schemas.microsoft.com/office/drawing/2014/main" id="{DD89FF64-09E0-4DBB-99F1-0BEAE6E879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89" name="Диаграмма 11588">
          <a:extLst>
            <a:ext uri="{FF2B5EF4-FFF2-40B4-BE49-F238E27FC236}">
              <a16:creationId xmlns:a16="http://schemas.microsoft.com/office/drawing/2014/main" id="{0196B16F-2FF4-4114-B53B-A9ED54AAA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0" name="Диаграмма 11589">
          <a:extLst>
            <a:ext uri="{FF2B5EF4-FFF2-40B4-BE49-F238E27FC236}">
              <a16:creationId xmlns:a16="http://schemas.microsoft.com/office/drawing/2014/main" id="{189DB9B8-CC9F-47D0-8FF3-51A12218A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1" name="Диаграмма 11590">
          <a:extLst>
            <a:ext uri="{FF2B5EF4-FFF2-40B4-BE49-F238E27FC236}">
              <a16:creationId xmlns:a16="http://schemas.microsoft.com/office/drawing/2014/main" id="{4D639709-AFE8-4175-B22A-069D8B8F0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2" name="Диаграмма 11591">
          <a:extLst>
            <a:ext uri="{FF2B5EF4-FFF2-40B4-BE49-F238E27FC236}">
              <a16:creationId xmlns:a16="http://schemas.microsoft.com/office/drawing/2014/main" id="{334C0A50-6846-4331-8BB9-2917972AF9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3" name="Диаграмма 11592">
          <a:extLst>
            <a:ext uri="{FF2B5EF4-FFF2-40B4-BE49-F238E27FC236}">
              <a16:creationId xmlns:a16="http://schemas.microsoft.com/office/drawing/2014/main" id="{9DE03E16-73E0-4868-91BE-1333C5A078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4" name="Диаграмма 11593">
          <a:extLst>
            <a:ext uri="{FF2B5EF4-FFF2-40B4-BE49-F238E27FC236}">
              <a16:creationId xmlns:a16="http://schemas.microsoft.com/office/drawing/2014/main" id="{67E7BB80-E420-461A-B716-995CED9BC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5" name="Диаграмма 11594">
          <a:extLst>
            <a:ext uri="{FF2B5EF4-FFF2-40B4-BE49-F238E27FC236}">
              <a16:creationId xmlns:a16="http://schemas.microsoft.com/office/drawing/2014/main" id="{083F44F3-B32C-4AEF-A374-EC98D62A5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6" name="Диаграмма 11595">
          <a:extLst>
            <a:ext uri="{FF2B5EF4-FFF2-40B4-BE49-F238E27FC236}">
              <a16:creationId xmlns:a16="http://schemas.microsoft.com/office/drawing/2014/main" id="{38DA7DF7-442B-48B2-B63F-386B3394A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7" name="Диаграмма 11596">
          <a:extLst>
            <a:ext uri="{FF2B5EF4-FFF2-40B4-BE49-F238E27FC236}">
              <a16:creationId xmlns:a16="http://schemas.microsoft.com/office/drawing/2014/main" id="{C3E1701F-7920-467E-A7C9-A27568D5F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8" name="Диаграмма 11597">
          <a:extLst>
            <a:ext uri="{FF2B5EF4-FFF2-40B4-BE49-F238E27FC236}">
              <a16:creationId xmlns:a16="http://schemas.microsoft.com/office/drawing/2014/main" id="{81FB4A87-9C24-432F-8DD8-AFFA25535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599" name="Диаграмма 11598">
          <a:extLst>
            <a:ext uri="{FF2B5EF4-FFF2-40B4-BE49-F238E27FC236}">
              <a16:creationId xmlns:a16="http://schemas.microsoft.com/office/drawing/2014/main" id="{37CB836F-D7BB-40ED-A5C6-9169ED981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0" name="Диаграмма 11599">
          <a:extLst>
            <a:ext uri="{FF2B5EF4-FFF2-40B4-BE49-F238E27FC236}">
              <a16:creationId xmlns:a16="http://schemas.microsoft.com/office/drawing/2014/main" id="{68CB2AEF-4572-4A1E-907F-186165CD28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1" name="Диаграмма 11600">
          <a:extLst>
            <a:ext uri="{FF2B5EF4-FFF2-40B4-BE49-F238E27FC236}">
              <a16:creationId xmlns:a16="http://schemas.microsoft.com/office/drawing/2014/main" id="{1C546F17-B99F-4883-9E1E-387677F47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2" name="Диаграмма 11601">
          <a:extLst>
            <a:ext uri="{FF2B5EF4-FFF2-40B4-BE49-F238E27FC236}">
              <a16:creationId xmlns:a16="http://schemas.microsoft.com/office/drawing/2014/main" id="{F33F263E-8C8C-4216-AB1D-05B4923EB3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3" name="Диаграмма 11602">
          <a:extLst>
            <a:ext uri="{FF2B5EF4-FFF2-40B4-BE49-F238E27FC236}">
              <a16:creationId xmlns:a16="http://schemas.microsoft.com/office/drawing/2014/main" id="{408DD1A2-0953-47EF-B2FE-1AC8C5506E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4" name="Диаграмма 11603">
          <a:extLst>
            <a:ext uri="{FF2B5EF4-FFF2-40B4-BE49-F238E27FC236}">
              <a16:creationId xmlns:a16="http://schemas.microsoft.com/office/drawing/2014/main" id="{F60F1031-D4C4-4F94-AE4A-28DD35E85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5" name="Диаграмма 11604">
          <a:extLst>
            <a:ext uri="{FF2B5EF4-FFF2-40B4-BE49-F238E27FC236}">
              <a16:creationId xmlns:a16="http://schemas.microsoft.com/office/drawing/2014/main" id="{D1B866B1-B2B6-480D-83B0-A7BA8AD0F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6" name="Диаграмма 11605">
          <a:extLst>
            <a:ext uri="{FF2B5EF4-FFF2-40B4-BE49-F238E27FC236}">
              <a16:creationId xmlns:a16="http://schemas.microsoft.com/office/drawing/2014/main" id="{3A3F1208-270B-4C4A-A6B3-B3A856E6A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7" name="Диаграмма 11606">
          <a:extLst>
            <a:ext uri="{FF2B5EF4-FFF2-40B4-BE49-F238E27FC236}">
              <a16:creationId xmlns:a16="http://schemas.microsoft.com/office/drawing/2014/main" id="{346CCA2F-8105-4231-986A-F60DCD81B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8" name="Диаграмма 11607">
          <a:extLst>
            <a:ext uri="{FF2B5EF4-FFF2-40B4-BE49-F238E27FC236}">
              <a16:creationId xmlns:a16="http://schemas.microsoft.com/office/drawing/2014/main" id="{9A82710D-D8FB-48EF-BF27-C00ECBF94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09" name="Диаграмма 11608">
          <a:extLst>
            <a:ext uri="{FF2B5EF4-FFF2-40B4-BE49-F238E27FC236}">
              <a16:creationId xmlns:a16="http://schemas.microsoft.com/office/drawing/2014/main" id="{FA6BFD0F-73AF-4172-B413-919C2E24E9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0" name="Диаграмма 11609">
          <a:extLst>
            <a:ext uri="{FF2B5EF4-FFF2-40B4-BE49-F238E27FC236}">
              <a16:creationId xmlns:a16="http://schemas.microsoft.com/office/drawing/2014/main" id="{207F6A4D-79BB-4E27-88E9-B5CBCEA0A3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1" name="Диаграмма 11610">
          <a:extLst>
            <a:ext uri="{FF2B5EF4-FFF2-40B4-BE49-F238E27FC236}">
              <a16:creationId xmlns:a16="http://schemas.microsoft.com/office/drawing/2014/main" id="{F4169328-DA4B-4659-BB57-993A10A97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2" name="Диаграмма 11611">
          <a:extLst>
            <a:ext uri="{FF2B5EF4-FFF2-40B4-BE49-F238E27FC236}">
              <a16:creationId xmlns:a16="http://schemas.microsoft.com/office/drawing/2014/main" id="{4FB3AFBE-DB34-4AEA-9906-7BB2E4B9B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3" name="Диаграмма 11612">
          <a:extLst>
            <a:ext uri="{FF2B5EF4-FFF2-40B4-BE49-F238E27FC236}">
              <a16:creationId xmlns:a16="http://schemas.microsoft.com/office/drawing/2014/main" id="{C6485DAB-66B0-4F7C-BB1F-9B5DE7177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4" name="Диаграмма 11613">
          <a:extLst>
            <a:ext uri="{FF2B5EF4-FFF2-40B4-BE49-F238E27FC236}">
              <a16:creationId xmlns:a16="http://schemas.microsoft.com/office/drawing/2014/main" id="{81344CCC-D40F-4ED7-94AA-BC19A5A99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5" name="Диаграмма 11614">
          <a:extLst>
            <a:ext uri="{FF2B5EF4-FFF2-40B4-BE49-F238E27FC236}">
              <a16:creationId xmlns:a16="http://schemas.microsoft.com/office/drawing/2014/main" id="{7ECDDA9A-EF26-4CFE-96C8-856DFBF34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6" name="Диаграмма 11615">
          <a:extLst>
            <a:ext uri="{FF2B5EF4-FFF2-40B4-BE49-F238E27FC236}">
              <a16:creationId xmlns:a16="http://schemas.microsoft.com/office/drawing/2014/main" id="{77F97438-21FC-4C0C-A379-7619E29BE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7" name="Диаграмма 11616">
          <a:extLst>
            <a:ext uri="{FF2B5EF4-FFF2-40B4-BE49-F238E27FC236}">
              <a16:creationId xmlns:a16="http://schemas.microsoft.com/office/drawing/2014/main" id="{92E3261B-BAC5-403C-B52D-5589A0918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8" name="Диаграмма 11617">
          <a:extLst>
            <a:ext uri="{FF2B5EF4-FFF2-40B4-BE49-F238E27FC236}">
              <a16:creationId xmlns:a16="http://schemas.microsoft.com/office/drawing/2014/main" id="{6B492C66-EEFE-422C-9EDF-B983E673C2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19" name="Диаграмма 11618">
          <a:extLst>
            <a:ext uri="{FF2B5EF4-FFF2-40B4-BE49-F238E27FC236}">
              <a16:creationId xmlns:a16="http://schemas.microsoft.com/office/drawing/2014/main" id="{F1FAFB1E-6CD5-4AA8-B24F-32953B683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0" name="Диаграмма 11619">
          <a:extLst>
            <a:ext uri="{FF2B5EF4-FFF2-40B4-BE49-F238E27FC236}">
              <a16:creationId xmlns:a16="http://schemas.microsoft.com/office/drawing/2014/main" id="{A1DF1B5A-0459-4485-9891-EC823C6AC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1" name="Диаграмма 11620">
          <a:extLst>
            <a:ext uri="{FF2B5EF4-FFF2-40B4-BE49-F238E27FC236}">
              <a16:creationId xmlns:a16="http://schemas.microsoft.com/office/drawing/2014/main" id="{F682BBB2-E74F-4E09-AEE9-3080089168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2" name="Диаграмма 11621">
          <a:extLst>
            <a:ext uri="{FF2B5EF4-FFF2-40B4-BE49-F238E27FC236}">
              <a16:creationId xmlns:a16="http://schemas.microsoft.com/office/drawing/2014/main" id="{3AD4E057-E130-4DEE-9704-3F3D8D00D1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3" name="Диаграмма 11622">
          <a:extLst>
            <a:ext uri="{FF2B5EF4-FFF2-40B4-BE49-F238E27FC236}">
              <a16:creationId xmlns:a16="http://schemas.microsoft.com/office/drawing/2014/main" id="{008FC2EC-96B8-4319-A8ED-C9936372B2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4" name="Диаграмма 11623">
          <a:extLst>
            <a:ext uri="{FF2B5EF4-FFF2-40B4-BE49-F238E27FC236}">
              <a16:creationId xmlns:a16="http://schemas.microsoft.com/office/drawing/2014/main" id="{E0F8B314-7BE9-4BF3-93A8-CA72CAB39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5" name="Диаграмма 11624">
          <a:extLst>
            <a:ext uri="{FF2B5EF4-FFF2-40B4-BE49-F238E27FC236}">
              <a16:creationId xmlns:a16="http://schemas.microsoft.com/office/drawing/2014/main" id="{8F11D037-EAF3-46E1-A057-A66F65799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6" name="Диаграмма 11625">
          <a:extLst>
            <a:ext uri="{FF2B5EF4-FFF2-40B4-BE49-F238E27FC236}">
              <a16:creationId xmlns:a16="http://schemas.microsoft.com/office/drawing/2014/main" id="{1EF1C11D-2611-4F14-9A43-99BC92A58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7" name="Диаграмма 11626">
          <a:extLst>
            <a:ext uri="{FF2B5EF4-FFF2-40B4-BE49-F238E27FC236}">
              <a16:creationId xmlns:a16="http://schemas.microsoft.com/office/drawing/2014/main" id="{CA40F4C3-1BC3-4E1C-BD99-340C911D1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8" name="Диаграмма 11627">
          <a:extLst>
            <a:ext uri="{FF2B5EF4-FFF2-40B4-BE49-F238E27FC236}">
              <a16:creationId xmlns:a16="http://schemas.microsoft.com/office/drawing/2014/main" id="{4D8EE3FB-0734-466F-8FF0-1AEC1DF64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29" name="Диаграмма 11628">
          <a:extLst>
            <a:ext uri="{FF2B5EF4-FFF2-40B4-BE49-F238E27FC236}">
              <a16:creationId xmlns:a16="http://schemas.microsoft.com/office/drawing/2014/main" id="{A3567C07-5823-4C6B-8B99-7D4243CCCE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0" name="Диаграмма 11629">
          <a:extLst>
            <a:ext uri="{FF2B5EF4-FFF2-40B4-BE49-F238E27FC236}">
              <a16:creationId xmlns:a16="http://schemas.microsoft.com/office/drawing/2014/main" id="{CD669E63-E705-4F7A-84CE-209C19F8F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1" name="Диаграмма 11630">
          <a:extLst>
            <a:ext uri="{FF2B5EF4-FFF2-40B4-BE49-F238E27FC236}">
              <a16:creationId xmlns:a16="http://schemas.microsoft.com/office/drawing/2014/main" id="{F8579980-ECA2-4BD7-85DF-36C7DF838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2" name="Диаграмма 11631">
          <a:extLst>
            <a:ext uri="{FF2B5EF4-FFF2-40B4-BE49-F238E27FC236}">
              <a16:creationId xmlns:a16="http://schemas.microsoft.com/office/drawing/2014/main" id="{CA46D049-ABBC-4260-A3C1-CB87D73F9C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3" name="Диаграмма 11632">
          <a:extLst>
            <a:ext uri="{FF2B5EF4-FFF2-40B4-BE49-F238E27FC236}">
              <a16:creationId xmlns:a16="http://schemas.microsoft.com/office/drawing/2014/main" id="{18DD7E2C-4D19-4656-B6F7-9AF1DD950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4" name="Диаграмма 11633">
          <a:extLst>
            <a:ext uri="{FF2B5EF4-FFF2-40B4-BE49-F238E27FC236}">
              <a16:creationId xmlns:a16="http://schemas.microsoft.com/office/drawing/2014/main" id="{FF23267E-0F8A-482F-AB85-3E6345D0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5" name="Диаграмма 11634">
          <a:extLst>
            <a:ext uri="{FF2B5EF4-FFF2-40B4-BE49-F238E27FC236}">
              <a16:creationId xmlns:a16="http://schemas.microsoft.com/office/drawing/2014/main" id="{125511B4-0892-475F-8592-B73778BE7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6" name="Диаграмма 11635">
          <a:extLst>
            <a:ext uri="{FF2B5EF4-FFF2-40B4-BE49-F238E27FC236}">
              <a16:creationId xmlns:a16="http://schemas.microsoft.com/office/drawing/2014/main" id="{AD16EECE-818C-44C7-99C9-D18440C02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7" name="Диаграмма 11636">
          <a:extLst>
            <a:ext uri="{FF2B5EF4-FFF2-40B4-BE49-F238E27FC236}">
              <a16:creationId xmlns:a16="http://schemas.microsoft.com/office/drawing/2014/main" id="{58EE0E47-2E43-4286-A20A-59144894C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8" name="Диаграмма 11637">
          <a:extLst>
            <a:ext uri="{FF2B5EF4-FFF2-40B4-BE49-F238E27FC236}">
              <a16:creationId xmlns:a16="http://schemas.microsoft.com/office/drawing/2014/main" id="{D2F79FC7-128F-4230-94A0-F0939A717D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39" name="Диаграмма 11638">
          <a:extLst>
            <a:ext uri="{FF2B5EF4-FFF2-40B4-BE49-F238E27FC236}">
              <a16:creationId xmlns:a16="http://schemas.microsoft.com/office/drawing/2014/main" id="{3165BAFA-8874-4F5D-9F64-72701541F5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0" name="Диаграмма 11639">
          <a:extLst>
            <a:ext uri="{FF2B5EF4-FFF2-40B4-BE49-F238E27FC236}">
              <a16:creationId xmlns:a16="http://schemas.microsoft.com/office/drawing/2014/main" id="{CCB7FEDB-00CA-4FCB-A2D3-F3143FFB5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1" name="Диаграмма 11640">
          <a:extLst>
            <a:ext uri="{FF2B5EF4-FFF2-40B4-BE49-F238E27FC236}">
              <a16:creationId xmlns:a16="http://schemas.microsoft.com/office/drawing/2014/main" id="{B50C778C-B50A-4CC7-8495-1FDA49B4F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2" name="Диаграмма 11641">
          <a:extLst>
            <a:ext uri="{FF2B5EF4-FFF2-40B4-BE49-F238E27FC236}">
              <a16:creationId xmlns:a16="http://schemas.microsoft.com/office/drawing/2014/main" id="{CBFB4F12-DD5F-4F5E-BC29-AAC8BC932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3" name="Диаграмма 11642">
          <a:extLst>
            <a:ext uri="{FF2B5EF4-FFF2-40B4-BE49-F238E27FC236}">
              <a16:creationId xmlns:a16="http://schemas.microsoft.com/office/drawing/2014/main" id="{C4B0DDE0-B808-4AFC-BC42-B0B4C3C6A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4" name="Диаграмма 11643">
          <a:extLst>
            <a:ext uri="{FF2B5EF4-FFF2-40B4-BE49-F238E27FC236}">
              <a16:creationId xmlns:a16="http://schemas.microsoft.com/office/drawing/2014/main" id="{4C45621F-C148-4DB6-ACF7-FBE2B66BF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5" name="Диаграмма 11644">
          <a:extLst>
            <a:ext uri="{FF2B5EF4-FFF2-40B4-BE49-F238E27FC236}">
              <a16:creationId xmlns:a16="http://schemas.microsoft.com/office/drawing/2014/main" id="{50850BB5-B80B-496F-B46C-8FF6F4024E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6" name="Диаграмма 11645">
          <a:extLst>
            <a:ext uri="{FF2B5EF4-FFF2-40B4-BE49-F238E27FC236}">
              <a16:creationId xmlns:a16="http://schemas.microsoft.com/office/drawing/2014/main" id="{168A4715-73E8-4301-824E-46BEB8877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7" name="Диаграмма 11646">
          <a:extLst>
            <a:ext uri="{FF2B5EF4-FFF2-40B4-BE49-F238E27FC236}">
              <a16:creationId xmlns:a16="http://schemas.microsoft.com/office/drawing/2014/main" id="{CB551626-3EF0-43F4-B136-CECD16FE5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8" name="Диаграмма 11647">
          <a:extLst>
            <a:ext uri="{FF2B5EF4-FFF2-40B4-BE49-F238E27FC236}">
              <a16:creationId xmlns:a16="http://schemas.microsoft.com/office/drawing/2014/main" id="{99AD1BDB-5DBE-4B7E-A058-1F71DD71A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49" name="Диаграмма 11648">
          <a:extLst>
            <a:ext uri="{FF2B5EF4-FFF2-40B4-BE49-F238E27FC236}">
              <a16:creationId xmlns:a16="http://schemas.microsoft.com/office/drawing/2014/main" id="{394087C6-6E8C-44EF-877A-5B612E1CD0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0" name="Диаграмма 11649">
          <a:extLst>
            <a:ext uri="{FF2B5EF4-FFF2-40B4-BE49-F238E27FC236}">
              <a16:creationId xmlns:a16="http://schemas.microsoft.com/office/drawing/2014/main" id="{C98D5B80-B995-4F66-B33D-DB4491D76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1" name="Диаграмма 11650">
          <a:extLst>
            <a:ext uri="{FF2B5EF4-FFF2-40B4-BE49-F238E27FC236}">
              <a16:creationId xmlns:a16="http://schemas.microsoft.com/office/drawing/2014/main" id="{74870D86-AAD3-4535-949C-A8D959AFD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2" name="Диаграмма 11651">
          <a:extLst>
            <a:ext uri="{FF2B5EF4-FFF2-40B4-BE49-F238E27FC236}">
              <a16:creationId xmlns:a16="http://schemas.microsoft.com/office/drawing/2014/main" id="{6D39EE35-7DC1-4FC5-935B-47B18749B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3" name="Диаграмма 11652">
          <a:extLst>
            <a:ext uri="{FF2B5EF4-FFF2-40B4-BE49-F238E27FC236}">
              <a16:creationId xmlns:a16="http://schemas.microsoft.com/office/drawing/2014/main" id="{8433ABF4-4E59-4BA9-8EE7-63D3B18B6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4" name="Диаграмма 11653">
          <a:extLst>
            <a:ext uri="{FF2B5EF4-FFF2-40B4-BE49-F238E27FC236}">
              <a16:creationId xmlns:a16="http://schemas.microsoft.com/office/drawing/2014/main" id="{6D28250C-2D28-42C6-AC29-7BC0BC4E8F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5" name="Диаграмма 11654">
          <a:extLst>
            <a:ext uri="{FF2B5EF4-FFF2-40B4-BE49-F238E27FC236}">
              <a16:creationId xmlns:a16="http://schemas.microsoft.com/office/drawing/2014/main" id="{8F09801D-9762-4D99-917B-B38906A69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1270000</xdr:colOff>
      <xdr:row>19</xdr:row>
      <xdr:rowOff>45720</xdr:rowOff>
    </xdr:from>
    <xdr:to>
      <xdr:col>4</xdr:col>
      <xdr:colOff>281940</xdr:colOff>
      <xdr:row>38</xdr:row>
      <xdr:rowOff>91440</xdr:rowOff>
    </xdr:to>
    <xdr:graphicFrame macro="">
      <xdr:nvGraphicFramePr>
        <xdr:cNvPr id="11656" name="Диаграмма 11655">
          <a:extLst>
            <a:ext uri="{FF2B5EF4-FFF2-40B4-BE49-F238E27FC236}">
              <a16:creationId xmlns:a16="http://schemas.microsoft.com/office/drawing/2014/main" id="{E95F256A-B1AB-4C88-953A-9DB5122E5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</xdr:colOff>
      <xdr:row>1</xdr:row>
      <xdr:rowOff>27940</xdr:rowOff>
    </xdr:from>
    <xdr:to>
      <xdr:col>16</xdr:col>
      <xdr:colOff>7620</xdr:colOff>
      <xdr:row>5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226060"/>
          <a:ext cx="7680960" cy="101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7620</xdr:rowOff>
        </xdr:from>
        <xdr:to>
          <xdr:col>2</xdr:col>
          <xdr:colOff>716280</xdr:colOff>
          <xdr:row>6</xdr:row>
          <xdr:rowOff>175260</xdr:rowOff>
        </xdr:to>
        <xdr:sp macro="" textlink="">
          <xdr:nvSpPr>
            <xdr:cNvPr id="5121" name="Button 1" descr="Start!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21711</xdr:colOff>
      <xdr:row>0</xdr:row>
      <xdr:rowOff>179211</xdr:rowOff>
    </xdr:from>
    <xdr:to>
      <xdr:col>16</xdr:col>
      <xdr:colOff>199511</xdr:colOff>
      <xdr:row>18</xdr:row>
      <xdr:rowOff>11071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46326" y="179211"/>
          <a:ext cx="5952501" cy="3544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22860</xdr:rowOff>
        </xdr:from>
        <xdr:to>
          <xdr:col>4</xdr:col>
          <xdr:colOff>800100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822960</xdr:colOff>
          <xdr:row>17</xdr:row>
          <xdr:rowOff>175260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F947-5A1C-8846-9AC7-E4586C40F8AD}">
  <sheetPr codeName="Лист1"/>
  <dimension ref="A1"/>
  <sheetViews>
    <sheetView workbookViewId="0"/>
  </sheetViews>
  <sheetFormatPr defaultColWidth="11.19921875" defaultRowHeight="15.6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C514C-EF46-BF46-9127-73300B872067}">
  <sheetPr codeName="Лист2"/>
  <dimension ref="B1:I10"/>
  <sheetViews>
    <sheetView topLeftCell="A2" zoomScaleNormal="100" workbookViewId="0">
      <selection activeCell="E27" sqref="E26:E27"/>
    </sheetView>
  </sheetViews>
  <sheetFormatPr defaultColWidth="10.69921875" defaultRowHeight="15.6"/>
  <cols>
    <col min="1" max="1" width="10.69921875" style="2"/>
    <col min="2" max="2" width="11.69921875" style="3" customWidth="1"/>
    <col min="3" max="3" width="12.69921875" style="2" customWidth="1"/>
    <col min="4" max="4" width="12.5" style="2" customWidth="1"/>
    <col min="5" max="5" width="10.69921875" style="2"/>
    <col min="6" max="6" width="0" style="2" hidden="1" customWidth="1"/>
    <col min="7" max="7" width="11.19921875"/>
    <col min="8" max="73" width="10.69921875" style="2"/>
    <col min="74" max="74" width="10.69921875" style="2" customWidth="1"/>
    <col min="75" max="16384" width="10.69921875" style="2"/>
  </cols>
  <sheetData>
    <row r="1" spans="2:9" ht="41.4">
      <c r="B1" s="1" t="s">
        <v>0</v>
      </c>
      <c r="C1" s="1" t="s">
        <v>19</v>
      </c>
      <c r="D1" s="1" t="s">
        <v>1</v>
      </c>
      <c r="E1" s="1" t="s">
        <v>20</v>
      </c>
      <c r="F1" s="1" t="s">
        <v>10</v>
      </c>
      <c r="G1" s="1" t="s">
        <v>21</v>
      </c>
      <c r="H1" s="1" t="s">
        <v>22</v>
      </c>
    </row>
    <row r="2" spans="2:9" ht="13.8">
      <c r="C2" s="4"/>
      <c r="D2" s="4"/>
      <c r="E2" s="4"/>
      <c r="F2" s="4"/>
      <c r="G2" s="4"/>
      <c r="H2" s="4">
        <f>SUM(G3:G10)</f>
        <v>20000.000000000004</v>
      </c>
      <c r="I2" s="2">
        <v>20000</v>
      </c>
    </row>
    <row r="3" spans="2:9" ht="13.8">
      <c r="B3" s="1" t="s">
        <v>2</v>
      </c>
      <c r="C3" s="5">
        <v>1</v>
      </c>
      <c r="D3" s="5">
        <f>D4</f>
        <v>4</v>
      </c>
      <c r="E3" s="4">
        <f>200</f>
        <v>200</v>
      </c>
      <c r="F3" s="4">
        <f>F8*D3+E3</f>
        <v>1590.1886792452833</v>
      </c>
      <c r="G3" s="4">
        <f t="shared" ref="G3:G10" si="0">F3*C3</f>
        <v>1590.1886792452833</v>
      </c>
      <c r="H3" s="4"/>
    </row>
    <row r="4" spans="2:9" ht="27.6">
      <c r="B4" s="3" t="s">
        <v>3</v>
      </c>
      <c r="C4" s="5">
        <v>1</v>
      </c>
      <c r="D4" s="5">
        <f>D8*4</f>
        <v>4</v>
      </c>
      <c r="E4" s="4"/>
      <c r="F4" s="4">
        <f>D4*F8</f>
        <v>1390.1886792452833</v>
      </c>
      <c r="G4" s="4">
        <f t="shared" si="0"/>
        <v>1390.1886792452833</v>
      </c>
      <c r="H4" s="4"/>
    </row>
    <row r="5" spans="2:9" ht="27.6">
      <c r="B5" s="3" t="s">
        <v>4</v>
      </c>
      <c r="C5" s="5">
        <v>4</v>
      </c>
      <c r="D5" s="5">
        <f>D6</f>
        <v>3</v>
      </c>
      <c r="E5" s="4">
        <v>300</v>
      </c>
      <c r="F5" s="4">
        <f>F6+E5</f>
        <v>1342.6415094339625</v>
      </c>
      <c r="G5" s="4">
        <f t="shared" si="0"/>
        <v>5370.5660377358499</v>
      </c>
      <c r="H5" s="4"/>
    </row>
    <row r="6" spans="2:9" ht="13.8">
      <c r="B6" s="3" t="s">
        <v>5</v>
      </c>
      <c r="C6" s="5">
        <v>4</v>
      </c>
      <c r="D6" s="5">
        <f>3*D8</f>
        <v>3</v>
      </c>
      <c r="E6" s="4"/>
      <c r="F6" s="4">
        <f>F8*D6</f>
        <v>1042.6415094339625</v>
      </c>
      <c r="G6" s="4">
        <f t="shared" si="0"/>
        <v>4170.5660377358499</v>
      </c>
      <c r="H6" s="4"/>
    </row>
    <row r="7" spans="2:9" ht="13.8">
      <c r="B7" s="3" t="s">
        <v>6</v>
      </c>
      <c r="C7" s="5">
        <v>9</v>
      </c>
      <c r="D7" s="5">
        <f>D8*1.5</f>
        <v>1.5</v>
      </c>
      <c r="E7" s="4"/>
      <c r="F7" s="4">
        <f>F8*D7</f>
        <v>521.32075471698124</v>
      </c>
      <c r="G7" s="4">
        <f t="shared" si="0"/>
        <v>4691.8867924528313</v>
      </c>
      <c r="H7" s="4"/>
    </row>
    <row r="8" spans="2:9" ht="13.8">
      <c r="B8" s="3" t="s">
        <v>7</v>
      </c>
      <c r="C8" s="5">
        <v>6</v>
      </c>
      <c r="D8" s="5">
        <v>1</v>
      </c>
      <c r="E8" s="4"/>
      <c r="F8" s="4">
        <v>347.54716981132083</v>
      </c>
      <c r="G8" s="4">
        <f t="shared" si="0"/>
        <v>2085.283018867925</v>
      </c>
      <c r="H8" s="4"/>
    </row>
    <row r="9" spans="2:9" ht="27.6">
      <c r="B9" s="3" t="s">
        <v>8</v>
      </c>
      <c r="C9" s="5"/>
      <c r="D9" s="5">
        <f>2*D8</f>
        <v>2</v>
      </c>
      <c r="E9" s="4"/>
      <c r="F9" s="4">
        <f>F8*D9</f>
        <v>695.09433962264166</v>
      </c>
      <c r="G9" s="4">
        <f t="shared" si="0"/>
        <v>0</v>
      </c>
      <c r="H9" s="4"/>
    </row>
    <row r="10" spans="2:9" ht="27.6">
      <c r="B10" s="3" t="s">
        <v>9</v>
      </c>
      <c r="C10" s="5">
        <v>1</v>
      </c>
      <c r="D10" s="5">
        <f>D7</f>
        <v>1.5</v>
      </c>
      <c r="E10" s="4">
        <f>180</f>
        <v>180</v>
      </c>
      <c r="F10" s="4">
        <f>F8*D10+E10</f>
        <v>701.32075471698124</v>
      </c>
      <c r="G10" s="4">
        <f t="shared" si="0"/>
        <v>701.32075471698124</v>
      </c>
      <c r="H1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Штатное_расписание">
                <anchor moveWithCells="1">
                  <from>
                    <xdr:col>9</xdr:col>
                    <xdr:colOff>190500</xdr:colOff>
                    <xdr:row>1</xdr:row>
                    <xdr:rowOff>0</xdr:rowOff>
                  </from>
                  <to>
                    <xdr:col>10</xdr:col>
                    <xdr:colOff>45720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68CB-7B10-4B09-AAFB-CCBA5DC80CAA}">
  <sheetPr codeName="Лист9"/>
  <dimension ref="A1:G14"/>
  <sheetViews>
    <sheetView topLeftCell="A7" workbookViewId="0">
      <selection activeCell="H21" sqref="H21"/>
    </sheetView>
  </sheetViews>
  <sheetFormatPr defaultColWidth="9" defaultRowHeight="15.6"/>
  <cols>
    <col min="1" max="1" width="51.3984375" style="8" bestFit="1" customWidth="1"/>
    <col min="2" max="2" width="14.796875" style="8" bestFit="1" customWidth="1"/>
    <col min="3" max="3" width="15.296875" style="8" bestFit="1" customWidth="1"/>
    <col min="4" max="4" width="14.796875" style="8" bestFit="1" customWidth="1"/>
    <col min="5" max="5" width="15.296875" style="8" bestFit="1" customWidth="1"/>
    <col min="6" max="6" width="14.796875" style="8" bestFit="1" customWidth="1"/>
    <col min="7" max="7" width="10.8984375" style="8" bestFit="1" customWidth="1"/>
    <col min="8" max="16384" width="9" style="8"/>
  </cols>
  <sheetData>
    <row r="1" spans="1:7">
      <c r="A1" s="10" t="s">
        <v>23</v>
      </c>
      <c r="B1" s="11" t="s">
        <v>36</v>
      </c>
      <c r="C1" s="11"/>
      <c r="D1" s="11" t="s">
        <v>39</v>
      </c>
      <c r="E1" s="11"/>
      <c r="F1" s="11" t="s">
        <v>40</v>
      </c>
      <c r="G1" s="11"/>
    </row>
    <row r="2" spans="1:7">
      <c r="A2" s="10"/>
      <c r="B2" s="8" t="s">
        <v>37</v>
      </c>
      <c r="C2" s="8" t="s">
        <v>38</v>
      </c>
      <c r="D2" s="8" t="s">
        <v>37</v>
      </c>
      <c r="E2" s="8" t="s">
        <v>38</v>
      </c>
      <c r="F2" s="8" t="s">
        <v>37</v>
      </c>
      <c r="G2" s="8" t="s">
        <v>41</v>
      </c>
    </row>
    <row r="3" spans="1:7">
      <c r="A3" s="8" t="s">
        <v>24</v>
      </c>
      <c r="B3" s="9">
        <v>1403660</v>
      </c>
      <c r="C3" s="9">
        <v>98.340280940203868</v>
      </c>
      <c r="D3" s="9">
        <v>1609074</v>
      </c>
      <c r="E3" s="9">
        <v>97.163957392333515</v>
      </c>
      <c r="F3" s="9">
        <v>205414</v>
      </c>
      <c r="G3" s="9">
        <v>89.822029822029819</v>
      </c>
    </row>
    <row r="4" spans="1:7">
      <c r="A4" s="8" t="s">
        <v>25</v>
      </c>
      <c r="B4" s="8">
        <v>347660</v>
      </c>
      <c r="C4" s="9">
        <v>24.357025256594387</v>
      </c>
      <c r="D4" s="8">
        <v>666562</v>
      </c>
      <c r="E4" s="9">
        <v>40.250356271587641</v>
      </c>
      <c r="F4" s="9">
        <v>318902</v>
      </c>
      <c r="G4" s="9">
        <v>139.44728672001401</v>
      </c>
    </row>
    <row r="5" spans="1:7">
      <c r="A5" s="8" t="s">
        <v>26</v>
      </c>
      <c r="B5" s="8">
        <v>396110</v>
      </c>
      <c r="C5" s="9">
        <v>27.751427470487268</v>
      </c>
      <c r="D5" s="8">
        <v>142887</v>
      </c>
      <c r="E5" s="9">
        <v>8.6282336175454706</v>
      </c>
      <c r="F5" s="9">
        <v>-253223</v>
      </c>
      <c r="G5" s="9">
        <v>-110.72762254580437</v>
      </c>
    </row>
    <row r="6" spans="1:7">
      <c r="A6" s="8" t="s">
        <v>27</v>
      </c>
      <c r="B6" s="8">
        <v>53810</v>
      </c>
      <c r="C6" s="9">
        <v>3.7699232844081689</v>
      </c>
      <c r="D6" s="8">
        <v>35696</v>
      </c>
      <c r="E6" s="9">
        <v>2.1555034902538588</v>
      </c>
      <c r="F6" s="9">
        <v>-18114</v>
      </c>
      <c r="G6" s="9">
        <v>-7.9207661025842846</v>
      </c>
    </row>
    <row r="7" spans="1:7">
      <c r="A7" s="8" t="s">
        <v>28</v>
      </c>
      <c r="B7" s="8">
        <v>266900</v>
      </c>
      <c r="C7" s="9">
        <v>18.698987634427436</v>
      </c>
      <c r="D7" s="8">
        <v>107253</v>
      </c>
      <c r="E7" s="9">
        <v>6.4764739982126036</v>
      </c>
      <c r="F7" s="9">
        <v>-159647</v>
      </c>
      <c r="G7" s="9">
        <v>-69.809348900257987</v>
      </c>
    </row>
    <row r="8" spans="1:7">
      <c r="A8" s="8" t="s">
        <v>29</v>
      </c>
      <c r="B8" s="8">
        <v>102600</v>
      </c>
      <c r="C8" s="9">
        <v>7.1881458647143308</v>
      </c>
      <c r="D8" s="8">
        <v>382380</v>
      </c>
      <c r="E8" s="9">
        <v>23.090021980145409</v>
      </c>
      <c r="F8" s="9">
        <v>279780</v>
      </c>
      <c r="G8" s="9">
        <v>122.34028597664961</v>
      </c>
    </row>
    <row r="9" spans="1:7">
      <c r="A9" s="8" t="s">
        <v>30</v>
      </c>
      <c r="B9" s="8">
        <v>236580</v>
      </c>
      <c r="C9" s="9">
        <v>16.574771429572284</v>
      </c>
      <c r="D9" s="8">
        <v>274296</v>
      </c>
      <c r="E9" s="9">
        <v>16.563368034588535</v>
      </c>
      <c r="F9" s="9">
        <v>37716</v>
      </c>
      <c r="G9" s="9">
        <v>16.492194674012858</v>
      </c>
    </row>
    <row r="10" spans="1:7">
      <c r="A10" s="8" t="s">
        <v>31</v>
      </c>
      <c r="B10" s="9">
        <v>23690</v>
      </c>
      <c r="C10" s="9">
        <v>1.6597190597961258</v>
      </c>
      <c r="D10" s="9">
        <v>46966</v>
      </c>
      <c r="E10" s="9">
        <v>2.8360426076664815</v>
      </c>
      <c r="F10" s="9">
        <v>23276</v>
      </c>
      <c r="G10" s="9">
        <v>10.177970177970177</v>
      </c>
    </row>
    <row r="11" spans="1:7">
      <c r="A11" s="8" t="s">
        <v>32</v>
      </c>
      <c r="B11" s="8">
        <v>10690</v>
      </c>
      <c r="C11" s="9">
        <v>0.74894034399411502</v>
      </c>
      <c r="D11" s="8">
        <v>37366</v>
      </c>
      <c r="E11" s="9">
        <v>2.2563464650612306</v>
      </c>
      <c r="F11" s="9">
        <v>26676</v>
      </c>
      <c r="G11" s="9">
        <v>11.664698937426211</v>
      </c>
    </row>
    <row r="12" spans="1:7">
      <c r="A12" s="8" t="s">
        <v>33</v>
      </c>
      <c r="B12" s="8">
        <v>9500</v>
      </c>
      <c r="C12" s="9">
        <v>0.66556906154762319</v>
      </c>
      <c r="D12" s="8">
        <v>6000</v>
      </c>
      <c r="E12" s="9">
        <v>0.36231008912828194</v>
      </c>
      <c r="F12" s="9">
        <v>-3500</v>
      </c>
      <c r="G12" s="9">
        <v>-1.5304560759106214</v>
      </c>
    </row>
    <row r="13" spans="1:7">
      <c r="A13" s="8" t="s">
        <v>34</v>
      </c>
      <c r="B13" s="8">
        <v>3500</v>
      </c>
      <c r="C13" s="9">
        <v>0.24520965425438751</v>
      </c>
      <c r="D13" s="8">
        <v>3600</v>
      </c>
      <c r="E13" s="9">
        <v>0.21738605347696915</v>
      </c>
      <c r="F13" s="9">
        <v>100</v>
      </c>
      <c r="G13" s="9">
        <v>4.3727316454589181E-2</v>
      </c>
    </row>
    <row r="14" spans="1:7">
      <c r="A14" s="8" t="s">
        <v>35</v>
      </c>
      <c r="B14" s="9">
        <v>1427350</v>
      </c>
      <c r="C14" s="9">
        <v>100</v>
      </c>
      <c r="D14" s="9">
        <v>1656040</v>
      </c>
      <c r="E14" s="9">
        <v>100</v>
      </c>
      <c r="F14" s="9">
        <v>228690</v>
      </c>
      <c r="G14" s="9">
        <v>100</v>
      </c>
    </row>
  </sheetData>
  <sheetProtection algorithmName="SHA-512" hashValue="ZsbKyyIXVG6AB3+UZe2hK6spuWwJwVhpUeN7eKhWcveOw5mrOorUR3aeChIVm7M90M5Z39NuPWzcQ1zoNKN4Tw==" saltValue="V38QCuICW9GyFqLxohmqRg==" spinCount="100000" sheet="1" objects="1" scenarios="1"/>
  <mergeCells count="4">
    <mergeCell ref="A1:A2"/>
    <mergeCell ref="B1:C1"/>
    <mergeCell ref="D1:E1"/>
    <mergeCell ref="F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learSheet">
                <anchor moveWithCells="1" sizeWithCells="1">
                  <from>
                    <xdr:col>17</xdr:col>
                    <xdr:colOff>0</xdr:colOff>
                    <xdr:row>0</xdr:row>
                    <xdr:rowOff>182880</xdr:rowOff>
                  </from>
                  <to>
                    <xdr:col>19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Шаблоны_таблицы_диаграммы">
                <anchor moveWithCells="1" sizeWithCells="1">
                  <from>
                    <xdr:col>16</xdr:col>
                    <xdr:colOff>655320</xdr:colOff>
                    <xdr:row>5</xdr:row>
                    <xdr:rowOff>152400</xdr:rowOff>
                  </from>
                  <to>
                    <xdr:col>18</xdr:col>
                    <xdr:colOff>632460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ClearSheet">
                <anchor>
                  <from>
                    <xdr:col>9</xdr:col>
                    <xdr:colOff>15240</xdr:colOff>
                    <xdr:row>1</xdr:row>
                    <xdr:rowOff>7620</xdr:rowOff>
                  </from>
                  <to>
                    <xdr:col>11</xdr:col>
                    <xdr:colOff>38100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Шаблоны_таблицы_диаграммы">
                <anchor>
                  <from>
                    <xdr:col>9</xdr:col>
                    <xdr:colOff>45720</xdr:colOff>
                    <xdr:row>5</xdr:row>
                    <xdr:rowOff>182880</xdr:rowOff>
                  </from>
                  <to>
                    <xdr:col>10</xdr:col>
                    <xdr:colOff>662940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BABC-6717-B640-9A89-8E3D8D92B580}">
  <sheetPr codeName="Лист4"/>
  <dimension ref="A1:J11"/>
  <sheetViews>
    <sheetView workbookViewId="0">
      <selection activeCell="B4" sqref="B4"/>
    </sheetView>
  </sheetViews>
  <sheetFormatPr defaultColWidth="11.19921875" defaultRowHeight="15.6"/>
  <sheetData>
    <row r="1" spans="1:10" ht="21">
      <c r="A1" s="18" t="s">
        <v>11</v>
      </c>
      <c r="B1" s="18"/>
      <c r="C1" s="18"/>
      <c r="D1" s="18"/>
    </row>
    <row r="2" spans="1:10">
      <c r="A2" s="16">
        <v>2</v>
      </c>
      <c r="B2" s="16">
        <v>4</v>
      </c>
      <c r="C2" s="16">
        <v>1</v>
      </c>
      <c r="D2" s="17">
        <v>7</v>
      </c>
      <c r="E2" s="17">
        <v>8</v>
      </c>
      <c r="F2" s="16"/>
      <c r="G2" s="16"/>
      <c r="H2" s="16"/>
      <c r="I2" s="16"/>
      <c r="J2" s="17"/>
    </row>
    <row r="4" spans="1:10" ht="23.4">
      <c r="A4" s="15" t="s">
        <v>42</v>
      </c>
      <c r="B4" s="14">
        <v>4</v>
      </c>
    </row>
    <row r="8" spans="1:10">
      <c r="A8">
        <v>0.82682181043180603</v>
      </c>
      <c r="B8">
        <v>0.82682181043180603</v>
      </c>
      <c r="C8">
        <v>0.82682181043180603</v>
      </c>
      <c r="D8">
        <v>0.82682181043180603</v>
      </c>
    </row>
    <row r="9" spans="1:10">
      <c r="A9">
        <v>1.3463563791363882</v>
      </c>
      <c r="B9">
        <v>0.57275001690430671</v>
      </c>
      <c r="C9">
        <v>0.57275001690430671</v>
      </c>
      <c r="D9">
        <v>0.57275001690430671</v>
      </c>
    </row>
    <row r="10" spans="1:10">
      <c r="A10">
        <v>4.5403023058681393</v>
      </c>
      <c r="B10">
        <v>2.5403023058681398</v>
      </c>
      <c r="C10">
        <v>0.70807341827357118</v>
      </c>
      <c r="D10">
        <v>0.70807341827357118</v>
      </c>
    </row>
    <row r="11" spans="1:10">
      <c r="A11">
        <v>1.7539022543433047</v>
      </c>
      <c r="B11">
        <v>4.7539022543433047</v>
      </c>
      <c r="C11">
        <v>2.7539022543433047</v>
      </c>
      <c r="D11">
        <v>0.43163139089608316</v>
      </c>
    </row>
  </sheetData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mandButton1_Click" altText="Start!">
                <anchor moveWithCells="1" sizeWithCells="1">
                  <from>
                    <xdr:col>1</xdr:col>
                    <xdr:colOff>0</xdr:colOff>
                    <xdr:row>5</xdr:row>
                    <xdr:rowOff>7620</xdr:rowOff>
                  </from>
                  <to>
                    <xdr:col>2</xdr:col>
                    <xdr:colOff>716280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F2A0E-6FB7-DE40-B3C5-8FBE3D9ADAA8}">
  <sheetPr codeName="Лист5"/>
  <dimension ref="A1:H24"/>
  <sheetViews>
    <sheetView tabSelected="1" zoomScale="117" workbookViewId="0">
      <selection activeCell="B22" sqref="B22"/>
    </sheetView>
  </sheetViews>
  <sheetFormatPr defaultColWidth="11.19921875" defaultRowHeight="15.6"/>
  <sheetData>
    <row r="1" spans="1:7">
      <c r="A1" s="12" t="s">
        <v>13</v>
      </c>
      <c r="B1" s="12"/>
    </row>
    <row r="3" spans="1:7">
      <c r="A3" s="13" t="s">
        <v>11</v>
      </c>
      <c r="B3" s="13"/>
      <c r="C3" s="13"/>
      <c r="D3" s="13"/>
      <c r="E3" s="13"/>
      <c r="F3" s="13"/>
      <c r="G3" s="13"/>
    </row>
    <row r="4" spans="1:7">
      <c r="A4">
        <v>5</v>
      </c>
      <c r="B4">
        <v>1</v>
      </c>
      <c r="C4">
        <v>1</v>
      </c>
      <c r="D4">
        <v>7</v>
      </c>
      <c r="E4">
        <v>1</v>
      </c>
      <c r="F4">
        <v>2</v>
      </c>
      <c r="G4">
        <v>1</v>
      </c>
    </row>
    <row r="6" spans="1:7">
      <c r="A6" s="6" t="s">
        <v>12</v>
      </c>
      <c r="B6">
        <v>7</v>
      </c>
    </row>
    <row r="8" spans="1:7">
      <c r="A8">
        <v>20</v>
      </c>
      <c r="B8">
        <v>20</v>
      </c>
      <c r="C8">
        <v>20</v>
      </c>
      <c r="D8">
        <v>20</v>
      </c>
      <c r="E8">
        <v>20</v>
      </c>
      <c r="F8">
        <v>20</v>
      </c>
      <c r="G8">
        <v>20</v>
      </c>
    </row>
    <row r="9" spans="1:7">
      <c r="A9">
        <v>4</v>
      </c>
      <c r="B9">
        <v>4</v>
      </c>
      <c r="C9">
        <v>4</v>
      </c>
      <c r="D9">
        <v>4</v>
      </c>
      <c r="E9">
        <v>4</v>
      </c>
      <c r="F9">
        <v>4</v>
      </c>
      <c r="G9">
        <v>4</v>
      </c>
    </row>
    <row r="10" spans="1:7">
      <c r="A10">
        <v>-30.634116060768413</v>
      </c>
      <c r="B10">
        <v>4</v>
      </c>
      <c r="C10">
        <v>4</v>
      </c>
      <c r="D10">
        <v>4</v>
      </c>
      <c r="E10">
        <v>4</v>
      </c>
      <c r="F10">
        <v>4</v>
      </c>
      <c r="G10">
        <v>4</v>
      </c>
    </row>
    <row r="11" spans="1:7">
      <c r="A11">
        <v>-31.372053605124844</v>
      </c>
      <c r="B11">
        <v>-3.3720536051248438</v>
      </c>
      <c r="C11">
        <v>28</v>
      </c>
      <c r="D11">
        <v>28</v>
      </c>
      <c r="E11">
        <v>28</v>
      </c>
      <c r="F11">
        <v>28</v>
      </c>
      <c r="G11">
        <v>28</v>
      </c>
    </row>
    <row r="12" spans="1:7">
      <c r="A12">
        <v>-24.634116060768413</v>
      </c>
      <c r="B12">
        <v>-2.634116060768414</v>
      </c>
      <c r="C12">
        <v>-2.634116060768414</v>
      </c>
      <c r="D12">
        <v>4</v>
      </c>
      <c r="E12">
        <v>4</v>
      </c>
      <c r="F12">
        <v>4</v>
      </c>
      <c r="G12">
        <v>4</v>
      </c>
    </row>
    <row r="13" spans="1:7">
      <c r="A13">
        <v>-30.362810292697272</v>
      </c>
      <c r="B13">
        <v>3.6371897073027277</v>
      </c>
      <c r="C13">
        <v>-2.3628102926972732</v>
      </c>
      <c r="D13">
        <v>-44.362810292697276</v>
      </c>
      <c r="E13">
        <v>8</v>
      </c>
      <c r="F13">
        <v>8</v>
      </c>
      <c r="G13">
        <v>8</v>
      </c>
    </row>
    <row r="14" spans="1:7">
      <c r="A14">
        <v>-29.634116060768413</v>
      </c>
      <c r="B14">
        <v>-2.634116060768414</v>
      </c>
      <c r="C14">
        <v>3.3658839392315869</v>
      </c>
      <c r="D14">
        <v>-44.634116060768413</v>
      </c>
      <c r="E14">
        <v>-2.634116060768414</v>
      </c>
      <c r="F14">
        <v>4</v>
      </c>
      <c r="G14">
        <v>4</v>
      </c>
    </row>
    <row r="17" spans="1:8">
      <c r="A17" s="12" t="s">
        <v>14</v>
      </c>
      <c r="B17" s="12"/>
      <c r="C17" s="7"/>
    </row>
    <row r="18" spans="1:8">
      <c r="C18" s="7"/>
    </row>
    <row r="19" spans="1:8">
      <c r="A19" s="13" t="s">
        <v>15</v>
      </c>
      <c r="B19" s="13"/>
      <c r="C19" s="13"/>
      <c r="D19" s="13"/>
      <c r="F19" s="13" t="s">
        <v>17</v>
      </c>
      <c r="G19" s="13"/>
      <c r="H19" s="13"/>
    </row>
    <row r="20" spans="1:8">
      <c r="A20">
        <v>2</v>
      </c>
      <c r="B20">
        <v>1</v>
      </c>
      <c r="C20">
        <v>1</v>
      </c>
      <c r="D20">
        <v>3</v>
      </c>
      <c r="F20">
        <v>5</v>
      </c>
      <c r="G20">
        <v>2</v>
      </c>
      <c r="H20">
        <v>4</v>
      </c>
    </row>
    <row r="21" spans="1:8">
      <c r="F21">
        <v>1</v>
      </c>
      <c r="G21">
        <v>4</v>
      </c>
      <c r="H21">
        <v>2</v>
      </c>
    </row>
    <row r="22" spans="1:8">
      <c r="A22" s="6" t="s">
        <v>16</v>
      </c>
      <c r="B22">
        <v>4</v>
      </c>
      <c r="F22">
        <v>7</v>
      </c>
      <c r="G22">
        <v>3</v>
      </c>
      <c r="H22">
        <v>5</v>
      </c>
    </row>
    <row r="23" spans="1:8">
      <c r="A23" s="6" t="s">
        <v>12</v>
      </c>
      <c r="B23">
        <v>3</v>
      </c>
    </row>
    <row r="24" spans="1:8">
      <c r="A24" s="6" t="s">
        <v>18</v>
      </c>
      <c r="B24">
        <v>9716</v>
      </c>
    </row>
  </sheetData>
  <mergeCells count="5">
    <mergeCell ref="A1:B1"/>
    <mergeCell ref="A3:G3"/>
    <mergeCell ref="A17:B17"/>
    <mergeCell ref="A19:D19"/>
    <mergeCell ref="F19:H19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mandButton2_Click">
                <anchor moveWithCells="1" sizeWithCells="1">
                  <from>
                    <xdr:col>3</xdr:col>
                    <xdr:colOff>22860</xdr:colOff>
                    <xdr:row>0</xdr:row>
                    <xdr:rowOff>22860</xdr:rowOff>
                  </from>
                  <to>
                    <xdr:col>4</xdr:col>
                    <xdr:colOff>800100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CalculateS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822960</xdr:colOff>
                    <xdr:row>17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Титульный</vt:lpstr>
      <vt:lpstr>4.1 Штатное расписание</vt:lpstr>
      <vt:lpstr>4.2 Шаблоны таблицы и диаграммы</vt:lpstr>
      <vt:lpstr>5.1 Исключить лишнее вх данное</vt:lpstr>
      <vt:lpstr>5.2 Процедуры и функции В10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Юлия Медведева</dc:creator>
  <cp:keywords/>
  <dc:description/>
  <cp:lastModifiedBy>Юлия Медведева</cp:lastModifiedBy>
  <dcterms:created xsi:type="dcterms:W3CDTF">2024-03-02T07:07:38Z</dcterms:created>
  <dcterms:modified xsi:type="dcterms:W3CDTF">2024-10-12T18:09:52Z</dcterms:modified>
  <cp:category/>
</cp:coreProperties>
</file>