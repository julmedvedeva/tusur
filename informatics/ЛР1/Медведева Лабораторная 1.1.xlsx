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_medvedeva/Documents/computer-science/tusur/informatics/"/>
    </mc:Choice>
  </mc:AlternateContent>
  <xr:revisionPtr revIDLastSave="0" documentId="13_ncr:1_{B977AD45-BE67-084F-B799-418DF7BF8C1D}" xr6:coauthVersionLast="47" xr6:coauthVersionMax="47" xr10:uidLastSave="{00000000-0000-0000-0000-000000000000}"/>
  <bookViews>
    <workbookView xWindow="680" yWindow="1000" windowWidth="27840" windowHeight="16340" xr2:uid="{9718059F-1C59-294B-85CD-37CC484DB2B3}"/>
  </bookViews>
  <sheets>
    <sheet name="3.8.5 Консолидация" sheetId="1" r:id="rId1"/>
  </sheets>
  <externalReferences>
    <externalReference r:id="rId2"/>
  </externalReferences>
  <calcPr calcId="18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8" i="1"/>
  <c r="K8" i="1"/>
  <c r="L8" i="1"/>
  <c r="M8" i="1"/>
  <c r="N8" i="1"/>
  <c r="O8" i="1"/>
  <c r="B5" i="1"/>
  <c r="C5" i="1"/>
  <c r="D5" i="1"/>
  <c r="D9" i="1" s="1"/>
  <c r="K9" i="1" s="1"/>
  <c r="E5" i="1"/>
  <c r="E9" i="1" s="1"/>
  <c r="L9" i="1" s="1"/>
  <c r="F5" i="1"/>
  <c r="G5" i="1"/>
  <c r="H5" i="1"/>
  <c r="I5" i="1"/>
  <c r="J5" i="1"/>
  <c r="K5" i="1"/>
  <c r="L5" i="1"/>
  <c r="M5" i="1"/>
  <c r="N5" i="1"/>
  <c r="O5" i="1"/>
  <c r="B6" i="1"/>
  <c r="B9" i="1" s="1"/>
  <c r="C6" i="1"/>
  <c r="C9" i="1" s="1"/>
  <c r="J9" i="1" s="1"/>
  <c r="D6" i="1"/>
  <c r="E6" i="1"/>
  <c r="F6" i="1"/>
  <c r="G6" i="1"/>
  <c r="H6" i="1"/>
  <c r="I6" i="1"/>
  <c r="J6" i="1"/>
  <c r="K6" i="1"/>
  <c r="L6" i="1"/>
  <c r="M6" i="1"/>
  <c r="N6" i="1"/>
  <c r="O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B8" i="1"/>
  <c r="C8" i="1"/>
  <c r="D8" i="1"/>
  <c r="E8" i="1"/>
  <c r="F8" i="1"/>
  <c r="F9" i="1" s="1"/>
  <c r="M9" i="1" s="1"/>
  <c r="G8" i="1"/>
  <c r="G9" i="1" s="1"/>
  <c r="N9" i="1" s="1"/>
  <c r="H8" i="1"/>
  <c r="I8" i="1"/>
  <c r="H9" i="1"/>
  <c r="O9" i="1" s="1"/>
</calcChain>
</file>

<file path=xl/sharedStrings.xml><?xml version="1.0" encoding="utf-8"?>
<sst xmlns="http://schemas.openxmlformats.org/spreadsheetml/2006/main" count="20" uniqueCount="12">
  <si>
    <t>Период (1997 г.)</t>
  </si>
  <si>
    <t>Цены, тыс. руб. за тонну</t>
  </si>
  <si>
    <t>Соотношение цен на виды энергоресурсов с ценой на нефть %</t>
  </si>
  <si>
    <t>Нефть</t>
  </si>
  <si>
    <t>Бензин автомобильный</t>
  </si>
  <si>
    <t>Топливо дизельное</t>
  </si>
  <si>
    <t>Мазут топочный</t>
  </si>
  <si>
    <t>Газ естесственный</t>
  </si>
  <si>
    <t>Уголь</t>
  </si>
  <si>
    <t>энергетический</t>
  </si>
  <si>
    <t>для коксования</t>
  </si>
  <si>
    <t>средняя цена за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</si>
</sst>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2" fontId="1" fillId="0" borderId="2" xfId="0" applyNumberFormat="1" applyFont="1" applyBorder="1" applyAlignment="1">
      <alignment horizontal="right" vertical="center" wrapText="1"/>
    </xf>
    <xf numFmtId="2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2" fontId="0" fillId="0" borderId="2" xfId="0" applyNumberForma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a_medvedeva/Documents/computer-science/tusur/informatics/&#1052;&#1077;&#1076;&#1074;&#1077;&#1076;&#1077;&#1074;&#1072;%20&#1051;&#1072;&#1073;&#1086;&#1088;&#1072;&#1090;&#1086;&#1088;&#1085;&#1072;&#1103;%201.xlsx" TargetMode="External"/><Relationship Id="rId1" Type="http://schemas.openxmlformats.org/officeDocument/2006/relationships/externalLinkPath" Target="&#1052;&#1077;&#1076;&#1074;&#1077;&#1076;&#1077;&#1074;&#1072;%20&#1051;&#1072;&#1073;&#1086;&#1088;&#1072;&#1090;&#1086;&#1088;&#1085;&#1072;&#1103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итульный"/>
      <sheetName val="1.1 Оформление таблицы Вар 8 "/>
      <sheetName val="1.2 Построение гистограмм"/>
      <sheetName val="1.3 Построение графиков Вар 11"/>
      <sheetName val="2.1 Корни полинома Вар 11"/>
      <sheetName val="2.2 Метод итерации Вар 11"/>
      <sheetName val="2.3 Метод бисекции Вар 1"/>
      <sheetName val="2.4 Метод обр матр Вар11"/>
      <sheetName val="2.5 Метод Крамера Вар11"/>
      <sheetName val="2.6 Метод целевой фн Вар11 1"/>
      <sheetName val="3.1 Сортировка"/>
      <sheetName val="3.2 Фильтрация"/>
      <sheetName val="3.3 Автофильтр"/>
      <sheetName val="3.4 Расширенный фильтр"/>
      <sheetName val="3.5 Создание сводной таблицы"/>
      <sheetName val="3.6 Получение промежуточных ито"/>
      <sheetName val="3.7.1 Формула связи. Январь"/>
      <sheetName val="3.7.2 Формула связи. Февраль"/>
      <sheetName val="3.7.3 Формула связи. Март"/>
      <sheetName val="3.7.4 Квартрал. Способ 1"/>
      <sheetName val="3.7.5 Квартрал. Способ 2"/>
      <sheetName val="3.8.1 Консолидация"/>
      <sheetName val="3.8.2 Консолидация"/>
      <sheetName val="3.8.3 Консолидация"/>
      <sheetName val="3.8.4 Консолидац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B8">
            <v>373</v>
          </cell>
          <cell r="C8">
            <v>908.66666666666663</v>
          </cell>
          <cell r="D8">
            <v>944.66666666666663</v>
          </cell>
          <cell r="E8">
            <v>436.66666666666669</v>
          </cell>
          <cell r="F8">
            <v>38.4</v>
          </cell>
          <cell r="G8">
            <v>144.33333333333334</v>
          </cell>
          <cell r="H8">
            <v>133.66666666666666</v>
          </cell>
          <cell r="I8">
            <v>100</v>
          </cell>
          <cell r="J8">
            <v>243.61036639857014</v>
          </cell>
          <cell r="K8">
            <v>253.26184092940122</v>
          </cell>
          <cell r="L8">
            <v>117.06881143878464</v>
          </cell>
          <cell r="M8">
            <v>10.294906166219839</v>
          </cell>
          <cell r="N8">
            <v>38.695263628239502</v>
          </cell>
          <cell r="O8">
            <v>35.835567470956207</v>
          </cell>
        </row>
      </sheetData>
      <sheetData sheetId="22">
        <row r="8">
          <cell r="B8">
            <v>372.66666666666669</v>
          </cell>
          <cell r="C8">
            <v>949.66666666666663</v>
          </cell>
          <cell r="D8">
            <v>978</v>
          </cell>
          <cell r="E8">
            <v>437.66666666666669</v>
          </cell>
          <cell r="F8">
            <v>39.199999999999996</v>
          </cell>
          <cell r="G8">
            <v>141</v>
          </cell>
          <cell r="H8">
            <v>131.33333333333334</v>
          </cell>
          <cell r="I8">
            <v>100.00000000000001</v>
          </cell>
          <cell r="J8">
            <v>254.83005366726292</v>
          </cell>
          <cell r="K8">
            <v>262.43291592128799</v>
          </cell>
          <cell r="L8">
            <v>117.44186046511629</v>
          </cell>
          <cell r="M8">
            <v>10.518783542039355</v>
          </cell>
          <cell r="N8">
            <v>37.835420393559929</v>
          </cell>
          <cell r="O8">
            <v>35.241502683363152</v>
          </cell>
        </row>
      </sheetData>
      <sheetData sheetId="23">
        <row r="8">
          <cell r="B8">
            <v>375.33333333333331</v>
          </cell>
          <cell r="C8">
            <v>985.66666666666663</v>
          </cell>
          <cell r="D8">
            <v>991.66666666666663</v>
          </cell>
          <cell r="E8">
            <v>440.33333333333331</v>
          </cell>
          <cell r="F8">
            <v>39.5</v>
          </cell>
          <cell r="G8">
            <v>138</v>
          </cell>
          <cell r="H8">
            <v>126.33333333333333</v>
          </cell>
          <cell r="I8">
            <v>99.999999999999986</v>
          </cell>
          <cell r="J8">
            <v>262.61101243339255</v>
          </cell>
          <cell r="K8">
            <v>264.20959147424509</v>
          </cell>
          <cell r="L8">
            <v>117.31793960923623</v>
          </cell>
          <cell r="M8">
            <v>10.523978685612789</v>
          </cell>
          <cell r="N8">
            <v>36.767317939609235</v>
          </cell>
          <cell r="O8">
            <v>33.658969804618117</v>
          </cell>
        </row>
      </sheetData>
      <sheetData sheetId="24">
        <row r="8">
          <cell r="B8">
            <v>372</v>
          </cell>
          <cell r="C8">
            <v>1020.6666666666666</v>
          </cell>
          <cell r="D8">
            <v>1002.6666666666666</v>
          </cell>
          <cell r="E8">
            <v>441</v>
          </cell>
          <cell r="F8">
            <v>41.699999999999996</v>
          </cell>
          <cell r="G8">
            <v>144.66666666666666</v>
          </cell>
          <cell r="H8">
            <v>123.33333333333333</v>
          </cell>
          <cell r="I8">
            <v>100</v>
          </cell>
          <cell r="J8">
            <v>274.37275985663081</v>
          </cell>
          <cell r="K8">
            <v>269.53405017921142</v>
          </cell>
          <cell r="L8">
            <v>118.54838709677419</v>
          </cell>
          <cell r="M8">
            <v>11.209677419354838</v>
          </cell>
          <cell r="N8">
            <v>38.888888888888886</v>
          </cell>
          <cell r="O8">
            <v>33.154121863799283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&#1052;&#1077;&#1076;&#1074;&#1077;&#1076;&#1077;&#1074;&#1072;%20&#1051;&#1072;&#1073;&#1086;&#1088;&#1072;&#1090;&#1086;&#1088;&#1085;&#1072;&#1103;%201.xlsx" TargetMode="External"/><Relationship Id="rId2" Type="http://schemas.openxmlformats.org/officeDocument/2006/relationships/externalLinkPath" Target="&#1052;&#1077;&#1076;&#1074;&#1077;&#1076;&#1077;&#1074;&#1072;%20&#1051;&#1072;&#1073;&#1086;&#1088;&#1072;&#1090;&#1086;&#1088;&#1085;&#1072;&#1103;%201.xlsx" TargetMode="External"/><Relationship Id="rId1" Type="http://schemas.openxmlformats.org/officeDocument/2006/relationships/externalLinkPath" Target="&#1052;&#1077;&#1076;&#1074;&#1077;&#1076;&#1077;&#1074;&#1072;%20&#1051;&#1072;&#1073;&#1086;&#1088;&#1072;&#1090;&#1086;&#1088;&#1085;&#1072;&#1103;%201.xlsx" TargetMode="External"/><Relationship Id="rId4" Type="http://schemas.openxmlformats.org/officeDocument/2006/relationships/externalLinkPath" Target="&#1052;&#1077;&#1076;&#1074;&#1077;&#1076;&#1077;&#1074;&#1072;%20&#1051;&#1072;&#1073;&#1086;&#1088;&#1072;&#1090;&#1086;&#1088;&#1085;&#1072;&#1103;%20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82E6-BD62-BD4A-A493-CA766A94041F}">
  <dimension ref="A1:O9"/>
  <sheetViews>
    <sheetView tabSelected="1" workbookViewId="0">
      <selection activeCell="O9" sqref="O9"/>
    </sheetView>
  </sheetViews>
  <sheetFormatPr baseColWidth="10" defaultRowHeight="16" outlineLevelRow="1" x14ac:dyDescent="0.2"/>
  <cols>
    <col min="10" max="10" width="11.5" customWidth="1"/>
  </cols>
  <sheetData>
    <row r="1" spans="1:15" x14ac:dyDescent="0.2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 t="s">
        <v>2</v>
      </c>
      <c r="J1" s="6"/>
      <c r="K1" s="6"/>
      <c r="L1" s="6"/>
      <c r="M1" s="6"/>
      <c r="N1" s="6"/>
      <c r="O1" s="7"/>
    </row>
    <row r="2" spans="1:15" x14ac:dyDescent="0.2">
      <c r="A2" s="1"/>
      <c r="B2" s="8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3" t="s">
        <v>8</v>
      </c>
      <c r="H2" s="4"/>
      <c r="I2" s="9" t="s">
        <v>3</v>
      </c>
      <c r="J2" s="10" t="s">
        <v>4</v>
      </c>
      <c r="K2" s="10" t="s">
        <v>5</v>
      </c>
      <c r="L2" s="10" t="s">
        <v>6</v>
      </c>
      <c r="M2" s="10" t="s">
        <v>7</v>
      </c>
      <c r="N2" s="6" t="s">
        <v>8</v>
      </c>
      <c r="O2" s="7"/>
    </row>
    <row r="3" spans="1:15" x14ac:dyDescent="0.2">
      <c r="A3" s="1"/>
      <c r="B3" s="8"/>
      <c r="C3" s="1"/>
      <c r="D3" s="1"/>
      <c r="E3" s="1"/>
      <c r="F3" s="1"/>
      <c r="G3" s="1" t="s">
        <v>9</v>
      </c>
      <c r="H3" s="11" t="s">
        <v>10</v>
      </c>
      <c r="I3" s="9"/>
      <c r="J3" s="10"/>
      <c r="K3" s="10"/>
      <c r="L3" s="10"/>
      <c r="M3" s="10"/>
      <c r="N3" s="10" t="s">
        <v>9</v>
      </c>
      <c r="O3" s="12" t="s">
        <v>10</v>
      </c>
    </row>
    <row r="4" spans="1:15" x14ac:dyDescent="0.2">
      <c r="A4" s="13"/>
      <c r="B4" s="8"/>
      <c r="C4" s="1"/>
      <c r="D4" s="1"/>
      <c r="E4" s="1"/>
      <c r="F4" s="1"/>
      <c r="G4" s="1"/>
      <c r="H4" s="11"/>
      <c r="I4" s="9"/>
      <c r="J4" s="10"/>
      <c r="K4" s="10"/>
      <c r="L4" s="10"/>
      <c r="M4" s="10"/>
      <c r="N4" s="10"/>
      <c r="O4" s="12"/>
    </row>
    <row r="5" spans="1:15" outlineLevel="1" x14ac:dyDescent="0.2">
      <c r="A5" s="13"/>
      <c r="B5" s="14">
        <f>'[1]3.8.1 Консолидация'!$B$8</f>
        <v>373</v>
      </c>
      <c r="C5" s="15">
        <f>'[1]3.8.1 Консолидация'!$C$8</f>
        <v>908.66666666666663</v>
      </c>
      <c r="D5" s="15">
        <f>'[1]3.8.1 Консолидация'!$D$8</f>
        <v>944.66666666666663</v>
      </c>
      <c r="E5" s="15">
        <f>'[1]3.8.1 Консолидация'!$E$8</f>
        <v>436.66666666666669</v>
      </c>
      <c r="F5" s="15">
        <f>'[1]3.8.1 Консолидация'!$F$8</f>
        <v>38.4</v>
      </c>
      <c r="G5" s="15">
        <f>'[1]3.8.1 Консолидация'!$G$8</f>
        <v>144.33333333333334</v>
      </c>
      <c r="H5" s="16">
        <f>'[1]3.8.1 Консолидация'!$H$8</f>
        <v>133.66666666666666</v>
      </c>
      <c r="I5" s="14">
        <f>'[1]3.8.1 Консолидация'!$I$8</f>
        <v>100</v>
      </c>
      <c r="J5" s="15">
        <f>'[1]3.8.1 Консолидация'!$J$8</f>
        <v>243.61036639857014</v>
      </c>
      <c r="K5" s="15">
        <f>'[1]3.8.1 Консолидация'!$K$8</f>
        <v>253.26184092940122</v>
      </c>
      <c r="L5" s="15">
        <f>'[1]3.8.1 Консолидация'!$L$8</f>
        <v>117.06881143878464</v>
      </c>
      <c r="M5" s="15">
        <f>'[1]3.8.1 Консолидация'!$M$8</f>
        <v>10.294906166219839</v>
      </c>
      <c r="N5" s="15">
        <f>'[1]3.8.1 Консолидация'!$N$8</f>
        <v>38.695263628239502</v>
      </c>
      <c r="O5" s="16">
        <f>'[1]3.8.1 Консолидация'!$O$8</f>
        <v>35.835567470956207</v>
      </c>
    </row>
    <row r="6" spans="1:15" outlineLevel="1" collapsed="1" x14ac:dyDescent="0.2">
      <c r="A6" s="13"/>
      <c r="B6" s="14">
        <f>'[1]3.8.2 Консолидация'!$B$8</f>
        <v>372.66666666666669</v>
      </c>
      <c r="C6" s="15">
        <f>'[1]3.8.2 Консолидация'!$C$8</f>
        <v>949.66666666666663</v>
      </c>
      <c r="D6" s="15">
        <f>'[1]3.8.2 Консолидация'!$D$8</f>
        <v>978</v>
      </c>
      <c r="E6" s="15">
        <f>'[1]3.8.2 Консолидация'!$E$8</f>
        <v>437.66666666666669</v>
      </c>
      <c r="F6" s="15">
        <f>'[1]3.8.2 Консолидация'!$F$8</f>
        <v>39.199999999999996</v>
      </c>
      <c r="G6" s="15">
        <f>'[1]3.8.2 Консолидация'!$G$8</f>
        <v>141</v>
      </c>
      <c r="H6" s="16">
        <f>'[1]3.8.2 Консолидация'!$H$8</f>
        <v>131.33333333333334</v>
      </c>
      <c r="I6" s="14">
        <f>'[1]3.8.2 Консолидация'!$I$8</f>
        <v>100.00000000000001</v>
      </c>
      <c r="J6" s="15">
        <f>'[1]3.8.2 Консолидация'!$J$8</f>
        <v>254.83005366726292</v>
      </c>
      <c r="K6" s="15">
        <f>'[1]3.8.2 Консолидация'!$K$8</f>
        <v>262.43291592128799</v>
      </c>
      <c r="L6" s="15">
        <f>'[1]3.8.2 Консолидация'!$L$8</f>
        <v>117.44186046511629</v>
      </c>
      <c r="M6" s="15">
        <f>'[1]3.8.2 Консолидация'!$M$8</f>
        <v>10.518783542039355</v>
      </c>
      <c r="N6" s="15">
        <f>'[1]3.8.2 Консолидация'!$N$8</f>
        <v>37.835420393559929</v>
      </c>
      <c r="O6" s="16">
        <f>'[1]3.8.2 Консолидация'!$O$8</f>
        <v>35.241502683363152</v>
      </c>
    </row>
    <row r="7" spans="1:15" outlineLevel="1" collapsed="1" x14ac:dyDescent="0.2">
      <c r="A7" s="13"/>
      <c r="B7" s="14">
        <f>'[1]3.8.3 Консолидация'!$B$8</f>
        <v>375.33333333333331</v>
      </c>
      <c r="C7" s="15">
        <f>'[1]3.8.3 Консолидация'!$C$8</f>
        <v>985.66666666666663</v>
      </c>
      <c r="D7" s="15">
        <f>'[1]3.8.3 Консолидация'!$D$8</f>
        <v>991.66666666666663</v>
      </c>
      <c r="E7" s="15">
        <f>'[1]3.8.3 Консолидация'!$E$8</f>
        <v>440.33333333333331</v>
      </c>
      <c r="F7" s="15">
        <f>'[1]3.8.3 Консолидация'!$F$8</f>
        <v>39.5</v>
      </c>
      <c r="G7" s="15">
        <f>'[1]3.8.3 Консолидация'!$G$8</f>
        <v>138</v>
      </c>
      <c r="H7" s="16">
        <f>'[1]3.8.3 Консолидация'!$H$8</f>
        <v>126.33333333333333</v>
      </c>
      <c r="I7" s="14">
        <f>'[1]3.8.3 Консолидация'!$I$8</f>
        <v>99.999999999999986</v>
      </c>
      <c r="J7" s="15">
        <f>'[1]3.8.3 Консолидация'!$J$8</f>
        <v>262.61101243339255</v>
      </c>
      <c r="K7" s="15">
        <f>'[1]3.8.3 Консолидация'!$K$8</f>
        <v>264.20959147424509</v>
      </c>
      <c r="L7" s="15">
        <f>'[1]3.8.3 Консолидация'!$L$8</f>
        <v>117.31793960923623</v>
      </c>
      <c r="M7" s="15">
        <f>'[1]3.8.3 Консолидация'!$M$8</f>
        <v>10.523978685612789</v>
      </c>
      <c r="N7" s="15">
        <f>'[1]3.8.3 Консолидация'!$N$8</f>
        <v>36.767317939609235</v>
      </c>
      <c r="O7" s="16">
        <f>'[1]3.8.3 Консолидация'!$O$8</f>
        <v>33.658969804618117</v>
      </c>
    </row>
    <row r="8" spans="1:15" outlineLevel="1" collapsed="1" x14ac:dyDescent="0.2">
      <c r="A8" s="13"/>
      <c r="B8" s="14">
        <f>'[1]3.8.4 Консолидация'!$B$8</f>
        <v>372</v>
      </c>
      <c r="C8" s="15">
        <f>'[1]3.8.4 Консолидация'!$C$8</f>
        <v>1020.6666666666666</v>
      </c>
      <c r="D8" s="15">
        <f>'[1]3.8.4 Консолидация'!$D$8</f>
        <v>1002.6666666666666</v>
      </c>
      <c r="E8" s="15">
        <f>'[1]3.8.4 Консолидация'!$E$8</f>
        <v>441</v>
      </c>
      <c r="F8" s="15">
        <f>'[1]3.8.4 Консолидация'!$F$8</f>
        <v>41.699999999999996</v>
      </c>
      <c r="G8" s="15">
        <f>'[1]3.8.4 Консолидация'!$G$8</f>
        <v>144.66666666666666</v>
      </c>
      <c r="H8" s="16">
        <f>'[1]3.8.4 Консолидация'!$H$8</f>
        <v>123.33333333333333</v>
      </c>
      <c r="I8" s="14">
        <f>'[1]3.8.4 Консолидация'!$I$8</f>
        <v>100</v>
      </c>
      <c r="J8" s="15">
        <f>'[1]3.8.4 Консолидация'!$J$8</f>
        <v>274.37275985663081</v>
      </c>
      <c r="K8" s="15">
        <f>'[1]3.8.4 Консолидация'!$K$8</f>
        <v>269.53405017921142</v>
      </c>
      <c r="L8" s="15">
        <f>'[1]3.8.4 Консолидация'!$L$8</f>
        <v>118.54838709677419</v>
      </c>
      <c r="M8" s="15">
        <f>'[1]3.8.4 Консолидация'!$M$8</f>
        <v>11.209677419354838</v>
      </c>
      <c r="N8" s="15">
        <f>'[1]3.8.4 Консолидация'!$N$8</f>
        <v>38.888888888888886</v>
      </c>
      <c r="O8" s="16">
        <f>'[1]3.8.4 Консолидация'!$O$8</f>
        <v>33.154121863799283</v>
      </c>
    </row>
    <row r="9" spans="1:15" ht="34" x14ac:dyDescent="0.2">
      <c r="A9" s="18" t="s">
        <v>11</v>
      </c>
      <c r="B9" s="17">
        <f>SUM(B5:B8)</f>
        <v>1493</v>
      </c>
      <c r="C9" s="17">
        <f>SUM(C5:C8)</f>
        <v>3864.6666666666665</v>
      </c>
      <c r="D9" s="17">
        <f>SUM(D5:D8)</f>
        <v>3916.9999999999995</v>
      </c>
      <c r="E9" s="17">
        <f>SUM(E5:E8)</f>
        <v>1755.6666666666667</v>
      </c>
      <c r="F9" s="17">
        <f>SUM(F5:F8)</f>
        <v>158.79999999999998</v>
      </c>
      <c r="G9" s="17">
        <f>SUM(G5:G8)</f>
        <v>568</v>
      </c>
      <c r="H9" s="19">
        <f>SUM(H5:H8)</f>
        <v>514.66666666666663</v>
      </c>
      <c r="I9" s="17">
        <f>B9*100/$B$9</f>
        <v>100</v>
      </c>
      <c r="J9" s="17">
        <f>C9*100/$B$9</f>
        <v>258.85242241571774</v>
      </c>
      <c r="K9" s="17">
        <f t="shared" ref="J9:O9" si="0">D9*100/$B$9</f>
        <v>262.35766912257196</v>
      </c>
      <c r="L9" s="17">
        <f t="shared" si="0"/>
        <v>117.59321277070777</v>
      </c>
      <c r="M9" s="17">
        <f t="shared" si="0"/>
        <v>10.636302746148692</v>
      </c>
      <c r="N9" s="17">
        <f t="shared" si="0"/>
        <v>38.044206296048223</v>
      </c>
      <c r="O9" s="19">
        <f t="shared" si="0"/>
        <v>34.471980352757313</v>
      </c>
    </row>
  </sheetData>
  <dataConsolidate link="1">
    <dataRefs count="4">
      <dataRef ref="B8:O8" sheet="3.8.1 Консолидация" r:id="rId1"/>
      <dataRef ref="B8:O8" sheet="3.8.2 Консолидация" r:id="rId2"/>
      <dataRef ref="B8:O8" sheet="3.8.3 Консолидация" r:id="rId3"/>
      <dataRef ref="B8:O8" sheet="3.8.4 Консолидация" r:id="rId4"/>
    </dataRefs>
  </dataConsolidate>
  <mergeCells count="19">
    <mergeCell ref="J2:J4"/>
    <mergeCell ref="K2:K4"/>
    <mergeCell ref="L2:L4"/>
    <mergeCell ref="M2:M4"/>
    <mergeCell ref="N2:O2"/>
    <mergeCell ref="G3:G4"/>
    <mergeCell ref="H3:H4"/>
    <mergeCell ref="N3:N4"/>
    <mergeCell ref="O3:O4"/>
    <mergeCell ref="A1:A3"/>
    <mergeCell ref="B1:H1"/>
    <mergeCell ref="I1:O1"/>
    <mergeCell ref="B2:B4"/>
    <mergeCell ref="C2:C4"/>
    <mergeCell ref="D2:D4"/>
    <mergeCell ref="E2:E4"/>
    <mergeCell ref="F2:F4"/>
    <mergeCell ref="G2:H2"/>
    <mergeCell ref="I2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3.8.5 Консолидация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Медведева</dc:creator>
  <cp:lastModifiedBy>Юлия Медведева</cp:lastModifiedBy>
  <dcterms:created xsi:type="dcterms:W3CDTF">2024-03-08T18:45:35Z</dcterms:created>
  <dcterms:modified xsi:type="dcterms:W3CDTF">2024-03-08T18:52:14Z</dcterms:modified>
</cp:coreProperties>
</file>