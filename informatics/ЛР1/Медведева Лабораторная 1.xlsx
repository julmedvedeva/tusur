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x" ContentType="application/vnd.openxmlformats-officedocument.wordprocessingml.document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harts/chart5.xml" ContentType="application/vnd.openxmlformats-officedocument.drawingml.chart+xml"/>
  <Override PartName="/xl/pivotTables/pivotTable1.xml" ContentType="application/vnd.openxmlformats-officedocument.spreadsheetml.pivotTable+xml"/>
  <Override PartName="/xl/drawings/drawing10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.gladysheva\Documents\tusur\informatics\"/>
    </mc:Choice>
  </mc:AlternateContent>
  <xr:revisionPtr revIDLastSave="0" documentId="13_ncr:1_{FA4F8A91-CFC2-451D-9172-4E0773906458}" xr6:coauthVersionLast="47" xr6:coauthVersionMax="47" xr10:uidLastSave="{00000000-0000-0000-0000-000000000000}"/>
  <bookViews>
    <workbookView xWindow="-108" yWindow="-108" windowWidth="23256" windowHeight="13896" tabRatio="932" firstSheet="7" activeTab="11" xr2:uid="{8987EA38-F3F0-2545-9607-F72E2CAB358A}"/>
  </bookViews>
  <sheets>
    <sheet name="Титульный" sheetId="1" r:id="rId1"/>
    <sheet name="1.1 - 1.2 Вариант 8" sheetId="4" r:id="rId2"/>
    <sheet name="1.3 Построение графиков Вар 11" sheetId="5" r:id="rId3"/>
    <sheet name="2.1 Корни полинома Вар 11" sheetId="6" r:id="rId4"/>
    <sheet name="2.2 Метод итерации Вар 11" sheetId="7" r:id="rId5"/>
    <sheet name="2.3 Метод бисекции Вар 1" sheetId="8" r:id="rId6"/>
    <sheet name="2.4 Метод обр матр Вар11" sheetId="9" r:id="rId7"/>
    <sheet name="2.5 Метод Крамера Вар11" sheetId="11" r:id="rId8"/>
    <sheet name="Отчет о результатах 1" sheetId="37" r:id="rId9"/>
    <sheet name="Отчет об устойчивости 1" sheetId="38" r:id="rId10"/>
    <sheet name="Отчет о пределах 1" sheetId="39" r:id="rId11"/>
    <sheet name="2.6 Метод целевой фн Вар11 1" sheetId="12" r:id="rId12"/>
    <sheet name="3.1 Сортировка" sheetId="13" r:id="rId13"/>
    <sheet name="3.2 Фильтрация" sheetId="14" r:id="rId14"/>
    <sheet name="3.3.1 Автофильтр" sheetId="15" r:id="rId15"/>
    <sheet name="3.3.2 Автофильтр" sheetId="41" r:id="rId16"/>
    <sheet name="3.3.3 Автофильтр" sheetId="42" r:id="rId17"/>
    <sheet name="3.4 Расширенный фильтр" sheetId="16" r:id="rId18"/>
    <sheet name="3.5 Создание сводной таблицы" sheetId="45" r:id="rId19"/>
    <sheet name="Сводная таблица" sheetId="46" r:id="rId20"/>
    <sheet name="3.6 Получение промежуточных ито" sheetId="19" r:id="rId21"/>
    <sheet name="3.7.1 Формула связи. Январь" sheetId="20" r:id="rId22"/>
    <sheet name="3.7.2 Формула связи. Февраль" sheetId="21" r:id="rId23"/>
    <sheet name="3.7.3 Формула связи. Март" sheetId="22" r:id="rId24"/>
    <sheet name="3.7.4 Квартрал. Способ 1" sheetId="23" r:id="rId25"/>
    <sheet name="3.7.5 Квартрал. Способ 2" sheetId="43" r:id="rId26"/>
    <sheet name="3.8.1 Консолидация" sheetId="27" r:id="rId27"/>
    <sheet name="3.8.2 Консолидация" sheetId="30" r:id="rId28"/>
    <sheet name="3.8.3 Консолидация" sheetId="31" r:id="rId29"/>
    <sheet name="3.8.4 Консолидация" sheetId="32" r:id="rId30"/>
    <sheet name="3.8.5 Консолидация" sheetId="44" r:id="rId31"/>
    <sheet name="3.9 Создание формы данных" sheetId="33" r:id="rId32"/>
  </sheets>
  <definedNames>
    <definedName name="_ftn1" localSheetId="0">Титульный!$D$52</definedName>
    <definedName name="_ftn2" localSheetId="0">Титульный!$D$53</definedName>
    <definedName name="_ftnref1" localSheetId="0">Титульный!$D$21</definedName>
    <definedName name="_ftnref2" localSheetId="0">Титульный!$D$26</definedName>
    <definedName name="_xlnm._FilterDatabase" localSheetId="13" hidden="1">'3.2 Фильтрация'!$A$1:$F$10</definedName>
    <definedName name="_xlnm._FilterDatabase" localSheetId="14" hidden="1">'3.3.1 Автофильтр'!$A$5:$F$14</definedName>
    <definedName name="_xlnm._FilterDatabase" localSheetId="15" hidden="1">'3.3.2 Автофильтр'!$A$6:$F$15</definedName>
    <definedName name="_xlnm._FilterDatabase" localSheetId="16" hidden="1">'3.3.3 Автофильтр'!$A$5:$G$14</definedName>
    <definedName name="_xlnm._FilterDatabase" localSheetId="17" hidden="1">'3.4 Расширенный фильтр'!$A$2:$F$11</definedName>
    <definedName name="solver_adj" localSheetId="11" hidden="1">'2.6 Метод целевой фн Вар11 1'!$B$11:$B$12</definedName>
    <definedName name="solver_cvg" localSheetId="3" hidden="1">0.0001</definedName>
    <definedName name="solver_cvg" localSheetId="11" hidden="1">0.0001</definedName>
    <definedName name="solver_drv" localSheetId="3" hidden="1">1</definedName>
    <definedName name="solver_drv" localSheetId="11" hidden="1">1</definedName>
    <definedName name="solver_eng" localSheetId="3" hidden="1">1</definedName>
    <definedName name="solver_eng" localSheetId="11" hidden="1">1</definedName>
    <definedName name="solver_est" localSheetId="11" hidden="1">1</definedName>
    <definedName name="solver_itr" localSheetId="3" hidden="1">2147483647</definedName>
    <definedName name="solver_itr" localSheetId="11" hidden="1">2147483647</definedName>
    <definedName name="solver_lhs1" localSheetId="11" hidden="1">'2.6 Метод целевой фн Вар11 1'!$D$11:$D$12</definedName>
    <definedName name="solver_lin" localSheetId="3" hidden="1">2</definedName>
    <definedName name="solver_lin" localSheetId="11" hidden="1">2</definedName>
    <definedName name="solver_mip" localSheetId="3" hidden="1">2147483647</definedName>
    <definedName name="solver_mip" localSheetId="11" hidden="1">2147483647</definedName>
    <definedName name="solver_mni" localSheetId="3" hidden="1">30</definedName>
    <definedName name="solver_mni" localSheetId="11" hidden="1">30</definedName>
    <definedName name="solver_mrt" localSheetId="3" hidden="1">0.075</definedName>
    <definedName name="solver_mrt" localSheetId="11" hidden="1">0.075</definedName>
    <definedName name="solver_msl" localSheetId="3" hidden="1">2</definedName>
    <definedName name="solver_msl" localSheetId="11" hidden="1">2</definedName>
    <definedName name="solver_neg" localSheetId="3" hidden="1">1</definedName>
    <definedName name="solver_neg" localSheetId="11" hidden="1">1</definedName>
    <definedName name="solver_nod" localSheetId="3" hidden="1">2147483647</definedName>
    <definedName name="solver_nod" localSheetId="11" hidden="1">2147483647</definedName>
    <definedName name="solver_num" localSheetId="3" hidden="1">0</definedName>
    <definedName name="solver_num" localSheetId="11" hidden="1">0</definedName>
    <definedName name="solver_nwt" localSheetId="11" hidden="1">1</definedName>
    <definedName name="solver_opt" localSheetId="3" hidden="1">'2.1 Корни полинома Вар 11'!$C$30</definedName>
    <definedName name="solver_opt" localSheetId="11" hidden="1">'2.6 Метод целевой фн Вар11 1'!$E$11</definedName>
    <definedName name="solver_pre" localSheetId="3" hidden="1">0.000001</definedName>
    <definedName name="solver_pre" localSheetId="11" hidden="1">0.000001</definedName>
    <definedName name="solver_rbv" localSheetId="3" hidden="1">1</definedName>
    <definedName name="solver_rbv" localSheetId="11" hidden="1">1</definedName>
    <definedName name="solver_rel1" localSheetId="11" hidden="1">2</definedName>
    <definedName name="solver_rhs1" localSheetId="11" hidden="1">'2.6 Метод целевой фн Вар11 1'!$E$11:$E$12</definedName>
    <definedName name="solver_rlx" localSheetId="3" hidden="1">2</definedName>
    <definedName name="solver_rlx" localSheetId="11" hidden="1">2</definedName>
    <definedName name="solver_rsd" localSheetId="3" hidden="1">0</definedName>
    <definedName name="solver_rsd" localSheetId="11" hidden="1">0</definedName>
    <definedName name="solver_scl" localSheetId="3" hidden="1">1</definedName>
    <definedName name="solver_scl" localSheetId="11" hidden="1">1</definedName>
    <definedName name="solver_sho" localSheetId="3" hidden="1">2</definedName>
    <definedName name="solver_sho" localSheetId="11" hidden="1">2</definedName>
    <definedName name="solver_ssz" localSheetId="3" hidden="1">100</definedName>
    <definedName name="solver_ssz" localSheetId="11" hidden="1">100</definedName>
    <definedName name="solver_tim" localSheetId="3" hidden="1">2147483647</definedName>
    <definedName name="solver_tim" localSheetId="11" hidden="1">2147483647</definedName>
    <definedName name="solver_tol" localSheetId="3" hidden="1">0.01</definedName>
    <definedName name="solver_tol" localSheetId="11" hidden="1">0.01</definedName>
    <definedName name="solver_typ" localSheetId="3" hidden="1">1</definedName>
    <definedName name="solver_typ" localSheetId="11" hidden="1">3</definedName>
    <definedName name="solver_val" localSheetId="3" hidden="1">0</definedName>
    <definedName name="solver_val" localSheetId="11" hidden="1">1</definedName>
    <definedName name="solver_ver" localSheetId="3" hidden="1">2</definedName>
    <definedName name="solver_ver" localSheetId="11" hidden="1">3</definedName>
    <definedName name="x">'2.6 Метод целевой фн Вар11 1'!$B$11</definedName>
    <definedName name="y">'2.6 Метод целевой фн Вар11 1'!$B$12</definedName>
    <definedName name="_xlnm.Extract" localSheetId="17">'3.4 Расширенный фильтр'!$A$33:$F$35</definedName>
    <definedName name="_xlnm.Criteria" localSheetId="14">'3.3.1 Автофильтр'!$A$2:$F$3</definedName>
    <definedName name="_xlnm.Criteria" localSheetId="15">'3.3.2 Автофильтр'!$F$4</definedName>
    <definedName name="_xlnm.Criteria" localSheetId="16">'3.3.3 Автофильтр'!$A$2:$G$3</definedName>
    <definedName name="_xlnm.Criteria" localSheetId="17">'3.4 Расширенный фильтр'!$A$29:$F$31</definedName>
  </definedNames>
  <calcPr calcId="191029" iterate="1" iterateDelta="1.0000000000000001E-5"/>
  <pivotCaches>
    <pivotCache cacheId="0" r:id="rId3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8" i="12" l="1"/>
  <c r="C18" i="12"/>
  <c r="D18" i="12"/>
  <c r="E18" i="12"/>
  <c r="F18" i="12"/>
  <c r="G18" i="12"/>
  <c r="H18" i="12"/>
  <c r="I18" i="12"/>
  <c r="J18" i="12"/>
  <c r="K18" i="12"/>
  <c r="L18" i="12"/>
  <c r="M18" i="12"/>
  <c r="N18" i="12"/>
  <c r="O18" i="12"/>
  <c r="P18" i="12"/>
  <c r="B19" i="12"/>
  <c r="C19" i="12"/>
  <c r="D19" i="12"/>
  <c r="E19" i="12"/>
  <c r="F19" i="12"/>
  <c r="G19" i="12"/>
  <c r="H19" i="12"/>
  <c r="I19" i="12"/>
  <c r="J19" i="12"/>
  <c r="K19" i="12"/>
  <c r="L19" i="12"/>
  <c r="M19" i="12"/>
  <c r="N19" i="12"/>
  <c r="O19" i="12"/>
  <c r="P19" i="12"/>
  <c r="B20" i="12"/>
  <c r="C20" i="12"/>
  <c r="D20" i="12"/>
  <c r="E20" i="12"/>
  <c r="F20" i="12"/>
  <c r="G20" i="12"/>
  <c r="H20" i="12"/>
  <c r="I20" i="12"/>
  <c r="J20" i="12"/>
  <c r="K20" i="12"/>
  <c r="L20" i="12"/>
  <c r="M20" i="12"/>
  <c r="N20" i="12"/>
  <c r="O20" i="12"/>
  <c r="P20" i="12"/>
  <c r="B21" i="12"/>
  <c r="C21" i="12"/>
  <c r="D21" i="12"/>
  <c r="E21" i="12"/>
  <c r="F21" i="12"/>
  <c r="G21" i="12"/>
  <c r="H21" i="12"/>
  <c r="I21" i="12"/>
  <c r="J21" i="12"/>
  <c r="K21" i="12"/>
  <c r="L21" i="12"/>
  <c r="M21" i="12"/>
  <c r="N21" i="12"/>
  <c r="O21" i="12"/>
  <c r="P21" i="12"/>
  <c r="B22" i="12"/>
  <c r="C22" i="12"/>
  <c r="D22" i="12"/>
  <c r="E22" i="12"/>
  <c r="F22" i="12"/>
  <c r="G22" i="12"/>
  <c r="H22" i="12"/>
  <c r="I22" i="12"/>
  <c r="J22" i="12"/>
  <c r="K22" i="12"/>
  <c r="L22" i="12"/>
  <c r="M22" i="12"/>
  <c r="N22" i="12"/>
  <c r="O22" i="12"/>
  <c r="P22" i="12"/>
  <c r="B23" i="12"/>
  <c r="C23" i="12"/>
  <c r="D23" i="12"/>
  <c r="E23" i="12"/>
  <c r="F23" i="12"/>
  <c r="G23" i="12"/>
  <c r="H23" i="12"/>
  <c r="I23" i="12"/>
  <c r="J23" i="12"/>
  <c r="K23" i="12"/>
  <c r="L23" i="12"/>
  <c r="M23" i="12"/>
  <c r="N23" i="12"/>
  <c r="O23" i="12"/>
  <c r="P23" i="12"/>
  <c r="B24" i="12"/>
  <c r="C24" i="12"/>
  <c r="D24" i="12"/>
  <c r="E24" i="12"/>
  <c r="F24" i="12"/>
  <c r="G24" i="12"/>
  <c r="H24" i="12"/>
  <c r="I24" i="12"/>
  <c r="J24" i="12"/>
  <c r="K24" i="12"/>
  <c r="L24" i="12"/>
  <c r="M24" i="12"/>
  <c r="N24" i="12"/>
  <c r="O24" i="12"/>
  <c r="P24" i="12"/>
  <c r="B25" i="12"/>
  <c r="C25" i="12"/>
  <c r="D25" i="12"/>
  <c r="E25" i="12"/>
  <c r="F25" i="12"/>
  <c r="G25" i="12"/>
  <c r="H25" i="12"/>
  <c r="I25" i="12"/>
  <c r="J25" i="12"/>
  <c r="K25" i="12"/>
  <c r="L25" i="12"/>
  <c r="M25" i="12"/>
  <c r="N25" i="12"/>
  <c r="O25" i="12"/>
  <c r="P25" i="12"/>
  <c r="B26" i="12"/>
  <c r="C26" i="12"/>
  <c r="D26" i="12"/>
  <c r="E26" i="12"/>
  <c r="F26" i="12"/>
  <c r="G26" i="12"/>
  <c r="H26" i="12"/>
  <c r="I26" i="12"/>
  <c r="J26" i="12"/>
  <c r="K26" i="12"/>
  <c r="L26" i="12"/>
  <c r="M26" i="12"/>
  <c r="N26" i="12"/>
  <c r="O26" i="12"/>
  <c r="P26" i="12"/>
  <c r="B27" i="12"/>
  <c r="C27" i="12"/>
  <c r="D27" i="12"/>
  <c r="E27" i="12"/>
  <c r="F27" i="12"/>
  <c r="G27" i="12"/>
  <c r="H27" i="12"/>
  <c r="I27" i="12"/>
  <c r="J27" i="12"/>
  <c r="K27" i="12"/>
  <c r="L27" i="12"/>
  <c r="M27" i="12"/>
  <c r="N27" i="12"/>
  <c r="O27" i="12"/>
  <c r="P27" i="12"/>
  <c r="B28" i="12"/>
  <c r="C28" i="12"/>
  <c r="D28" i="12"/>
  <c r="E28" i="12"/>
  <c r="F28" i="12"/>
  <c r="G28" i="12"/>
  <c r="H28" i="12"/>
  <c r="I28" i="12"/>
  <c r="J28" i="12"/>
  <c r="K28" i="12"/>
  <c r="L28" i="12"/>
  <c r="M28" i="12"/>
  <c r="N28" i="12"/>
  <c r="O28" i="12"/>
  <c r="P28" i="12"/>
  <c r="B29" i="12"/>
  <c r="C29" i="12"/>
  <c r="D29" i="12"/>
  <c r="E29" i="12"/>
  <c r="F29" i="12"/>
  <c r="G29" i="12"/>
  <c r="H29" i="12"/>
  <c r="I29" i="12"/>
  <c r="J29" i="12"/>
  <c r="K29" i="12"/>
  <c r="L29" i="12"/>
  <c r="M29" i="12"/>
  <c r="N29" i="12"/>
  <c r="O29" i="12"/>
  <c r="P29" i="12"/>
  <c r="B30" i="12"/>
  <c r="C30" i="12"/>
  <c r="D30" i="12"/>
  <c r="E30" i="12"/>
  <c r="F30" i="12"/>
  <c r="G30" i="12"/>
  <c r="H30" i="12"/>
  <c r="I30" i="12"/>
  <c r="J30" i="12"/>
  <c r="K30" i="12"/>
  <c r="L30" i="12"/>
  <c r="M30" i="12"/>
  <c r="N30" i="12"/>
  <c r="O30" i="12"/>
  <c r="P30" i="12"/>
  <c r="B31" i="12"/>
  <c r="C31" i="12"/>
  <c r="D31" i="12"/>
  <c r="E31" i="12"/>
  <c r="F31" i="12"/>
  <c r="G31" i="12"/>
  <c r="H31" i="12"/>
  <c r="I31" i="12"/>
  <c r="J31" i="12"/>
  <c r="K31" i="12"/>
  <c r="L31" i="12"/>
  <c r="M31" i="12"/>
  <c r="N31" i="12"/>
  <c r="O31" i="12"/>
  <c r="P31" i="12"/>
  <c r="B32" i="12"/>
  <c r="C32" i="12"/>
  <c r="D32" i="12"/>
  <c r="E32" i="12"/>
  <c r="F32" i="12"/>
  <c r="G32" i="12"/>
  <c r="H32" i="12"/>
  <c r="I32" i="12"/>
  <c r="J32" i="12"/>
  <c r="K32" i="12"/>
  <c r="L32" i="12"/>
  <c r="M32" i="12"/>
  <c r="N32" i="12"/>
  <c r="O32" i="12"/>
  <c r="P32" i="12"/>
  <c r="B33" i="12"/>
  <c r="C33" i="12"/>
  <c r="D33" i="12"/>
  <c r="E33" i="12"/>
  <c r="F33" i="12"/>
  <c r="G33" i="12"/>
  <c r="H33" i="12"/>
  <c r="I33" i="12"/>
  <c r="J33" i="12"/>
  <c r="K33" i="12"/>
  <c r="L33" i="12"/>
  <c r="M33" i="12"/>
  <c r="N33" i="12"/>
  <c r="O33" i="12"/>
  <c r="P33" i="12"/>
  <c r="B34" i="12"/>
  <c r="C34" i="12"/>
  <c r="D34" i="12"/>
  <c r="E34" i="12"/>
  <c r="F34" i="12"/>
  <c r="G34" i="12"/>
  <c r="H34" i="12"/>
  <c r="I34" i="12"/>
  <c r="J34" i="12"/>
  <c r="K34" i="12"/>
  <c r="L34" i="12"/>
  <c r="M34" i="12"/>
  <c r="N34" i="12"/>
  <c r="O34" i="12"/>
  <c r="P34" i="12"/>
  <c r="B35" i="12"/>
  <c r="C35" i="12"/>
  <c r="D35" i="12"/>
  <c r="E35" i="12"/>
  <c r="F35" i="12"/>
  <c r="G35" i="12"/>
  <c r="H35" i="12"/>
  <c r="I35" i="12"/>
  <c r="J35" i="12"/>
  <c r="K35" i="12"/>
  <c r="L35" i="12"/>
  <c r="M35" i="12"/>
  <c r="N35" i="12"/>
  <c r="O35" i="12"/>
  <c r="P35" i="12"/>
  <c r="B36" i="12"/>
  <c r="C36" i="12"/>
  <c r="D36" i="12"/>
  <c r="E36" i="12"/>
  <c r="F36" i="12"/>
  <c r="G36" i="12"/>
  <c r="H36" i="12"/>
  <c r="I36" i="12"/>
  <c r="J36" i="12"/>
  <c r="K36" i="12"/>
  <c r="L36" i="12"/>
  <c r="M36" i="12"/>
  <c r="N36" i="12"/>
  <c r="O36" i="12"/>
  <c r="P36" i="12"/>
  <c r="B37" i="12"/>
  <c r="C37" i="12"/>
  <c r="D37" i="12"/>
  <c r="E37" i="12"/>
  <c r="F37" i="12"/>
  <c r="G37" i="12"/>
  <c r="H37" i="12"/>
  <c r="I37" i="12"/>
  <c r="J37" i="12"/>
  <c r="K37" i="12"/>
  <c r="L37" i="12"/>
  <c r="M37" i="12"/>
  <c r="N37" i="12"/>
  <c r="O37" i="12"/>
  <c r="P37" i="12"/>
  <c r="B38" i="12"/>
  <c r="C38" i="12"/>
  <c r="D38" i="12"/>
  <c r="E38" i="12"/>
  <c r="F38" i="12"/>
  <c r="G38" i="12"/>
  <c r="H38" i="12"/>
  <c r="I38" i="12"/>
  <c r="J38" i="12"/>
  <c r="K38" i="12"/>
  <c r="L38" i="12"/>
  <c r="M38" i="12"/>
  <c r="N38" i="12"/>
  <c r="O38" i="12"/>
  <c r="P38" i="12"/>
  <c r="B39" i="12"/>
  <c r="C39" i="12"/>
  <c r="D39" i="12"/>
  <c r="E39" i="12"/>
  <c r="F39" i="12"/>
  <c r="G39" i="12"/>
  <c r="H39" i="12"/>
  <c r="I39" i="12"/>
  <c r="J39" i="12"/>
  <c r="K39" i="12"/>
  <c r="L39" i="12"/>
  <c r="M39" i="12"/>
  <c r="N39" i="12"/>
  <c r="O39" i="12"/>
  <c r="P39" i="12"/>
  <c r="B40" i="12"/>
  <c r="C40" i="12"/>
  <c r="D40" i="12"/>
  <c r="E40" i="12"/>
  <c r="F40" i="12"/>
  <c r="G40" i="12"/>
  <c r="H40" i="12"/>
  <c r="I40" i="12"/>
  <c r="J40" i="12"/>
  <c r="K40" i="12"/>
  <c r="L40" i="12"/>
  <c r="M40" i="12"/>
  <c r="N40" i="12"/>
  <c r="O40" i="12"/>
  <c r="P40" i="12"/>
  <c r="B41" i="12"/>
  <c r="C41" i="12"/>
  <c r="D41" i="12"/>
  <c r="E41" i="12"/>
  <c r="F41" i="12"/>
  <c r="G41" i="12"/>
  <c r="H41" i="12"/>
  <c r="I41" i="12"/>
  <c r="J41" i="12"/>
  <c r="K41" i="12"/>
  <c r="L41" i="12"/>
  <c r="M41" i="12"/>
  <c r="N41" i="12"/>
  <c r="O41" i="12"/>
  <c r="P41" i="12"/>
  <c r="B42" i="12"/>
  <c r="C42" i="12"/>
  <c r="D42" i="12"/>
  <c r="E42" i="12"/>
  <c r="F42" i="12"/>
  <c r="G42" i="12"/>
  <c r="H42" i="12"/>
  <c r="I42" i="12"/>
  <c r="J42" i="12"/>
  <c r="K42" i="12"/>
  <c r="L42" i="12"/>
  <c r="M42" i="12"/>
  <c r="N42" i="12"/>
  <c r="O42" i="12"/>
  <c r="P42" i="12"/>
  <c r="B43" i="12"/>
  <c r="C43" i="12"/>
  <c r="D43" i="12"/>
  <c r="E43" i="12"/>
  <c r="F43" i="12"/>
  <c r="G43" i="12"/>
  <c r="H43" i="12"/>
  <c r="I43" i="12"/>
  <c r="J43" i="12"/>
  <c r="K43" i="12"/>
  <c r="L43" i="12"/>
  <c r="M43" i="12"/>
  <c r="N43" i="12"/>
  <c r="O43" i="12"/>
  <c r="P43" i="12"/>
  <c r="B44" i="12"/>
  <c r="C44" i="12"/>
  <c r="D44" i="12"/>
  <c r="E44" i="12"/>
  <c r="F44" i="12"/>
  <c r="G44" i="12"/>
  <c r="H44" i="12"/>
  <c r="I44" i="12"/>
  <c r="J44" i="12"/>
  <c r="K44" i="12"/>
  <c r="L44" i="12"/>
  <c r="M44" i="12"/>
  <c r="N44" i="12"/>
  <c r="O44" i="12"/>
  <c r="P44" i="12"/>
  <c r="C17" i="12"/>
  <c r="D17" i="12"/>
  <c r="E17" i="12"/>
  <c r="F17" i="12"/>
  <c r="G17" i="12"/>
  <c r="H17" i="12"/>
  <c r="I17" i="12"/>
  <c r="J17" i="12"/>
  <c r="K17" i="12"/>
  <c r="L17" i="12"/>
  <c r="M17" i="12"/>
  <c r="N17" i="12"/>
  <c r="O17" i="12"/>
  <c r="P17" i="12"/>
  <c r="B17" i="12"/>
  <c r="A24" i="12"/>
  <c r="A25" i="12"/>
  <c r="A26" i="12"/>
  <c r="A27" i="12" s="1"/>
  <c r="A28" i="12" s="1"/>
  <c r="A30" i="12"/>
  <c r="A31" i="12"/>
  <c r="A32" i="12"/>
  <c r="A33" i="12"/>
  <c r="A34" i="12"/>
  <c r="A36" i="12"/>
  <c r="A37" i="12"/>
  <c r="A38" i="12"/>
  <c r="A39" i="12"/>
  <c r="A40" i="12"/>
  <c r="A42" i="12"/>
  <c r="A43" i="12"/>
  <c r="A44" i="12"/>
  <c r="D16" i="12"/>
  <c r="E16" i="12" s="1"/>
  <c r="F16" i="12" s="1"/>
  <c r="G16" i="12" s="1"/>
  <c r="H16" i="12" s="1"/>
  <c r="I16" i="12" s="1"/>
  <c r="J16" i="12" s="1"/>
  <c r="K16" i="12" s="1"/>
  <c r="L16" i="12" s="1"/>
  <c r="M16" i="12" s="1"/>
  <c r="N16" i="12" s="1"/>
  <c r="O16" i="12" s="1"/>
  <c r="P16" i="12" s="1"/>
  <c r="C16" i="12"/>
  <c r="A19" i="12"/>
  <c r="A20" i="12" s="1"/>
  <c r="A21" i="12" s="1"/>
  <c r="A22" i="12" s="1"/>
  <c r="A18" i="12"/>
  <c r="D12" i="12" l="1"/>
  <c r="D11" i="12"/>
  <c r="G17" i="8"/>
  <c r="A10" i="8"/>
  <c r="E10" i="8" s="1"/>
  <c r="B10" i="8"/>
  <c r="D10" i="8"/>
  <c r="B11" i="8"/>
  <c r="B12" i="8" s="1"/>
  <c r="D11" i="8"/>
  <c r="A8" i="8"/>
  <c r="C8" i="8" s="1"/>
  <c r="G8" i="8" s="1"/>
  <c r="B8" i="8"/>
  <c r="D8" i="8"/>
  <c r="B9" i="8"/>
  <c r="D9" i="8"/>
  <c r="A7" i="8"/>
  <c r="B7" i="8"/>
  <c r="C7" i="8"/>
  <c r="D7" i="8"/>
  <c r="E7" i="8"/>
  <c r="F7" i="8"/>
  <c r="G7" i="8"/>
  <c r="D6" i="8"/>
  <c r="C6" i="8"/>
  <c r="E6" i="8"/>
  <c r="F6" i="8"/>
  <c r="G6" i="8"/>
  <c r="B6" i="8"/>
  <c r="A6" i="8"/>
  <c r="D5" i="8"/>
  <c r="C5" i="8"/>
  <c r="G5" i="8"/>
  <c r="F5" i="8"/>
  <c r="E5" i="8"/>
  <c r="B5" i="8"/>
  <c r="A5" i="8"/>
  <c r="G4" i="8"/>
  <c r="F4" i="8"/>
  <c r="D4" i="8"/>
  <c r="C4" i="8"/>
  <c r="E4" i="8"/>
  <c r="B4" i="8"/>
  <c r="A4" i="8"/>
  <c r="A22" i="6"/>
  <c r="B6" i="44"/>
  <c r="E12" i="45" a="1"/>
  <c r="E12" i="45" s="1"/>
  <c r="F12" i="45" s="1"/>
  <c r="G12" i="45" s="1"/>
  <c r="E11" i="45" a="1"/>
  <c r="E11" i="45" s="1"/>
  <c r="F11" i="45" s="1"/>
  <c r="G11" i="45" s="1"/>
  <c r="E10" i="45" a="1"/>
  <c r="E10" i="45" s="1"/>
  <c r="F10" i="45" s="1"/>
  <c r="G10" i="45" s="1"/>
  <c r="E9" i="45" a="1"/>
  <c r="E9" i="45" s="1"/>
  <c r="F9" i="45" s="1"/>
  <c r="G9" i="45" s="1"/>
  <c r="E8" i="45" a="1"/>
  <c r="E8" i="45" s="1"/>
  <c r="F8" i="45" s="1"/>
  <c r="G8" i="45" s="1"/>
  <c r="E7" i="45" a="1"/>
  <c r="E7" i="45" s="1"/>
  <c r="F7" i="45" s="1"/>
  <c r="G7" i="45" s="1"/>
  <c r="E6" i="45" a="1"/>
  <c r="E6" i="45" s="1"/>
  <c r="F6" i="45" s="1"/>
  <c r="G6" i="45" s="1"/>
  <c r="E5" i="45" a="1"/>
  <c r="E5" i="45" s="1"/>
  <c r="F5" i="45" s="1"/>
  <c r="G5" i="45" s="1"/>
  <c r="E4" i="45" a="1"/>
  <c r="E4" i="45" s="1"/>
  <c r="F4" i="45" s="1"/>
  <c r="G4" i="45" s="1"/>
  <c r="E3" i="45" a="1"/>
  <c r="E3" i="45" s="1"/>
  <c r="F3" i="45" s="1"/>
  <c r="G3" i="45" s="1"/>
  <c r="B2" i="44"/>
  <c r="B8" i="27"/>
  <c r="C9" i="27" s="1"/>
  <c r="F3" i="8"/>
  <c r="D3" i="8"/>
  <c r="C3" i="8"/>
  <c r="B3" i="44"/>
  <c r="B4" i="44"/>
  <c r="B5" i="44"/>
  <c r="B8" i="44"/>
  <c r="B9" i="44"/>
  <c r="B10" i="44"/>
  <c r="B8" i="32"/>
  <c r="B9" i="32" s="1"/>
  <c r="C8" i="32"/>
  <c r="D8" i="32"/>
  <c r="E8" i="32"/>
  <c r="E9" i="32" s="1"/>
  <c r="F8" i="32"/>
  <c r="F9" i="32" s="1"/>
  <c r="G8" i="32"/>
  <c r="G9" i="32" s="1"/>
  <c r="H8" i="32"/>
  <c r="H9" i="32" s="1"/>
  <c r="C9" i="32"/>
  <c r="D9" i="32"/>
  <c r="B9" i="27"/>
  <c r="B7" i="44" s="1"/>
  <c r="B3" i="43"/>
  <c r="C3" i="43"/>
  <c r="B4" i="43"/>
  <c r="C4" i="43"/>
  <c r="B5" i="43"/>
  <c r="C5" i="43"/>
  <c r="B7" i="43"/>
  <c r="C7" i="43"/>
  <c r="B8" i="43"/>
  <c r="C8" i="43"/>
  <c r="B9" i="43"/>
  <c r="C9" i="43"/>
  <c r="B11" i="43"/>
  <c r="C11" i="43"/>
  <c r="B12" i="43"/>
  <c r="C12" i="43"/>
  <c r="B13" i="43"/>
  <c r="C13" i="43"/>
  <c r="B15" i="43"/>
  <c r="C15" i="43"/>
  <c r="B16" i="43"/>
  <c r="C16" i="43"/>
  <c r="B17" i="43"/>
  <c r="C17" i="43"/>
  <c r="B19" i="43"/>
  <c r="C19" i="43"/>
  <c r="B20" i="43"/>
  <c r="C20" i="43"/>
  <c r="B21" i="43"/>
  <c r="C21" i="43"/>
  <c r="B23" i="43"/>
  <c r="C23" i="43"/>
  <c r="B24" i="43"/>
  <c r="C24" i="43"/>
  <c r="B25" i="43"/>
  <c r="C25" i="43"/>
  <c r="B27" i="43"/>
  <c r="C27" i="43"/>
  <c r="B28" i="43"/>
  <c r="C28" i="43"/>
  <c r="B29" i="43"/>
  <c r="C29" i="43"/>
  <c r="B31" i="43"/>
  <c r="C31" i="43"/>
  <c r="B32" i="43"/>
  <c r="C32" i="43"/>
  <c r="B33" i="43"/>
  <c r="C33" i="43"/>
  <c r="C35" i="43"/>
  <c r="C36" i="43"/>
  <c r="C37" i="43"/>
  <c r="C38" i="43" s="1"/>
  <c r="G7" i="42"/>
  <c r="G8" i="42"/>
  <c r="G9" i="42"/>
  <c r="G10" i="42"/>
  <c r="G11" i="42"/>
  <c r="G12" i="42"/>
  <c r="G13" i="42"/>
  <c r="G14" i="42"/>
  <c r="G6" i="42"/>
  <c r="E11" i="13"/>
  <c r="E10" i="13"/>
  <c r="E9" i="13"/>
  <c r="E8" i="13"/>
  <c r="E7" i="13"/>
  <c r="E6" i="13"/>
  <c r="E5" i="13"/>
  <c r="E4" i="13"/>
  <c r="E3" i="13"/>
  <c r="B16" i="9" a="1"/>
  <c r="B16" i="9" s="1"/>
  <c r="B5" i="6"/>
  <c r="H5" i="6"/>
  <c r="F5" i="6"/>
  <c r="G5" i="6"/>
  <c r="E6" i="6"/>
  <c r="E7" i="6"/>
  <c r="E8" i="6"/>
  <c r="E9" i="6"/>
  <c r="E11" i="12" l="1"/>
  <c r="D12" i="8"/>
  <c r="B13" i="8"/>
  <c r="F10" i="8"/>
  <c r="A11" i="8"/>
  <c r="C10" i="8"/>
  <c r="G10" i="8" s="1"/>
  <c r="E8" i="8"/>
  <c r="D9" i="27"/>
  <c r="F9" i="27"/>
  <c r="G9" i="27"/>
  <c r="E9" i="27"/>
  <c r="H9" i="27"/>
  <c r="B11" i="44"/>
  <c r="C6" i="43"/>
  <c r="B18" i="43"/>
  <c r="B34" i="43"/>
  <c r="C22" i="43"/>
  <c r="C34" i="43"/>
  <c r="C18" i="43"/>
  <c r="B26" i="43"/>
  <c r="B10" i="43"/>
  <c r="B22" i="43"/>
  <c r="B6" i="43"/>
  <c r="C26" i="43"/>
  <c r="C10" i="43"/>
  <c r="C30" i="43"/>
  <c r="C14" i="43"/>
  <c r="B30" i="43"/>
  <c r="B14" i="43"/>
  <c r="B9" i="31"/>
  <c r="H8" i="31"/>
  <c r="H9" i="31" s="1"/>
  <c r="G8" i="31"/>
  <c r="G9" i="31" s="1"/>
  <c r="F8" i="31"/>
  <c r="F9" i="31" s="1"/>
  <c r="E8" i="31"/>
  <c r="E9" i="31" s="1"/>
  <c r="D8" i="31"/>
  <c r="C8" i="31"/>
  <c r="C9" i="31" s="1"/>
  <c r="B8" i="31"/>
  <c r="B8" i="30"/>
  <c r="F9" i="30" s="1"/>
  <c r="H8" i="30"/>
  <c r="H9" i="30" s="1"/>
  <c r="G8" i="30"/>
  <c r="G9" i="30" s="1"/>
  <c r="F8" i="30"/>
  <c r="E8" i="30"/>
  <c r="D8" i="30"/>
  <c r="C8" i="30"/>
  <c r="C9" i="30" s="1"/>
  <c r="C8" i="27"/>
  <c r="D8" i="27"/>
  <c r="E8" i="27"/>
  <c r="F8" i="27"/>
  <c r="G8" i="27"/>
  <c r="H8" i="27"/>
  <c r="C4" i="23"/>
  <c r="C5" i="23"/>
  <c r="C6" i="23"/>
  <c r="D6" i="23"/>
  <c r="C7" i="23"/>
  <c r="C8" i="23"/>
  <c r="C9" i="23"/>
  <c r="C10" i="23"/>
  <c r="D10" i="23"/>
  <c r="C3" i="23"/>
  <c r="D4" i="22"/>
  <c r="D5" i="22"/>
  <c r="D6" i="22"/>
  <c r="D7" i="22"/>
  <c r="D8" i="22"/>
  <c r="D9" i="22"/>
  <c r="D10" i="22"/>
  <c r="D3" i="22"/>
  <c r="D4" i="21"/>
  <c r="D5" i="21"/>
  <c r="D6" i="21"/>
  <c r="D7" i="21"/>
  <c r="D8" i="21"/>
  <c r="D9" i="21"/>
  <c r="D10" i="21"/>
  <c r="D3" i="21"/>
  <c r="D4" i="20"/>
  <c r="D4" i="23" s="1"/>
  <c r="D5" i="20"/>
  <c r="D6" i="20"/>
  <c r="D7" i="20"/>
  <c r="D8" i="20"/>
  <c r="D8" i="23" s="1"/>
  <c r="D9" i="20"/>
  <c r="D10" i="20"/>
  <c r="D3" i="20"/>
  <c r="C7" i="19"/>
  <c r="C10" i="19"/>
  <c r="C15" i="19"/>
  <c r="D15" i="19"/>
  <c r="D10" i="19"/>
  <c r="D7" i="19"/>
  <c r="E13" i="19" a="1"/>
  <c r="E13" i="19" s="1"/>
  <c r="F13" i="19" s="1"/>
  <c r="G13" i="19" s="1"/>
  <c r="E3" i="19" a="1"/>
  <c r="E3" i="19" s="1"/>
  <c r="F3" i="19" s="1"/>
  <c r="G3" i="19" s="1"/>
  <c r="E12" i="19" a="1"/>
  <c r="E12" i="19" s="1"/>
  <c r="F12" i="19" s="1"/>
  <c r="G12" i="19" s="1"/>
  <c r="E6" i="19" a="1"/>
  <c r="E6" i="19" s="1"/>
  <c r="F6" i="19" s="1"/>
  <c r="G6" i="19" s="1"/>
  <c r="E5" i="19" a="1"/>
  <c r="E5" i="19" s="1"/>
  <c r="F5" i="19" s="1"/>
  <c r="G5" i="19" s="1"/>
  <c r="E11" i="19" a="1"/>
  <c r="E11" i="19" s="1"/>
  <c r="F11" i="19" s="1"/>
  <c r="G11" i="19" s="1"/>
  <c r="E8" i="19" a="1"/>
  <c r="E8" i="19" s="1"/>
  <c r="F8" i="19" s="1"/>
  <c r="G8" i="19" s="1"/>
  <c r="E9" i="19" a="1"/>
  <c r="E9" i="19" s="1"/>
  <c r="F9" i="19" s="1"/>
  <c r="G9" i="19" s="1"/>
  <c r="E14" i="19" a="1"/>
  <c r="E14" i="19" s="1"/>
  <c r="F14" i="19" s="1"/>
  <c r="G14" i="19" s="1"/>
  <c r="E4" i="19" a="1"/>
  <c r="E4" i="19" s="1"/>
  <c r="F4" i="19" s="1"/>
  <c r="G4" i="19" s="1"/>
  <c r="B5" i="11"/>
  <c r="C15" i="11"/>
  <c r="C16" i="11"/>
  <c r="C17" i="11"/>
  <c r="D19" i="11"/>
  <c r="D20" i="11"/>
  <c r="D21" i="11"/>
  <c r="B11" i="11"/>
  <c r="B12" i="11"/>
  <c r="B13" i="11"/>
  <c r="B19" i="11"/>
  <c r="C19" i="11"/>
  <c r="B20" i="11"/>
  <c r="C20" i="11"/>
  <c r="B21" i="11"/>
  <c r="C21" i="11"/>
  <c r="B15" i="11"/>
  <c r="D15" i="11"/>
  <c r="B16" i="11"/>
  <c r="D16" i="11"/>
  <c r="B17" i="11"/>
  <c r="D17" i="11"/>
  <c r="C11" i="11"/>
  <c r="D11" i="11"/>
  <c r="C12" i="11"/>
  <c r="D12" i="11"/>
  <c r="C13" i="11"/>
  <c r="D13" i="11"/>
  <c r="G16" i="9" a="1"/>
  <c r="G16" i="9" s="1"/>
  <c r="G3" i="8"/>
  <c r="C3" i="7"/>
  <c r="E3" i="8"/>
  <c r="A3" i="7"/>
  <c r="A4" i="7" s="1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B2" i="7"/>
  <c r="B3" i="7" s="1"/>
  <c r="F13" i="4"/>
  <c r="F12" i="4"/>
  <c r="F11" i="4"/>
  <c r="D10" i="4"/>
  <c r="B10" i="4"/>
  <c r="F9" i="4"/>
  <c r="F8" i="4"/>
  <c r="F7" i="4"/>
  <c r="F6" i="4"/>
  <c r="F5" i="4"/>
  <c r="F4" i="4"/>
  <c r="D3" i="4"/>
  <c r="F3" i="4" s="1"/>
  <c r="B3" i="4"/>
  <c r="C11" i="8" l="1"/>
  <c r="G11" i="8" s="1"/>
  <c r="E11" i="8"/>
  <c r="B14" i="8"/>
  <c r="D13" i="8"/>
  <c r="F8" i="8"/>
  <c r="A9" i="8"/>
  <c r="A6" i="6"/>
  <c r="B6" i="6" s="1"/>
  <c r="B9" i="30"/>
  <c r="D9" i="31"/>
  <c r="D9" i="23"/>
  <c r="D5" i="23"/>
  <c r="D11" i="23" s="1"/>
  <c r="D14" i="4"/>
  <c r="D9" i="30"/>
  <c r="E9" i="30"/>
  <c r="D11" i="20"/>
  <c r="D11" i="21"/>
  <c r="D7" i="23"/>
  <c r="D3" i="23"/>
  <c r="B14" i="4"/>
  <c r="C7" i="4" s="1"/>
  <c r="D11" i="22"/>
  <c r="D16" i="19"/>
  <c r="G10" i="19"/>
  <c r="G7" i="19"/>
  <c r="G16" i="19" s="1"/>
  <c r="G15" i="19"/>
  <c r="F10" i="19"/>
  <c r="F15" i="19"/>
  <c r="F7" i="19"/>
  <c r="C16" i="19"/>
  <c r="F20" i="11"/>
  <c r="I20" i="11" s="1"/>
  <c r="F12" i="11"/>
  <c r="I12" i="11" s="1"/>
  <c r="F16" i="11"/>
  <c r="I16" i="11" s="1"/>
  <c r="B4" i="7"/>
  <c r="E13" i="4"/>
  <c r="E11" i="4"/>
  <c r="E5" i="4"/>
  <c r="E12" i="4"/>
  <c r="F10" i="4"/>
  <c r="B15" i="8" l="1"/>
  <c r="D14" i="8"/>
  <c r="F11" i="8"/>
  <c r="A12" i="8"/>
  <c r="C9" i="8"/>
  <c r="G9" i="8" s="1"/>
  <c r="E9" i="8"/>
  <c r="F9" i="8" s="1"/>
  <c r="A7" i="6"/>
  <c r="B7" i="6" s="1"/>
  <c r="F14" i="4"/>
  <c r="C8" i="4"/>
  <c r="C10" i="4"/>
  <c r="C9" i="4"/>
  <c r="E6" i="4"/>
  <c r="C14" i="4"/>
  <c r="E8" i="4"/>
  <c r="C11" i="4"/>
  <c r="G14" i="4"/>
  <c r="G4" i="4"/>
  <c r="G3" i="4"/>
  <c r="G11" i="4"/>
  <c r="G8" i="4"/>
  <c r="G5" i="4"/>
  <c r="G12" i="4"/>
  <c r="G6" i="4"/>
  <c r="G13" i="4"/>
  <c r="E7" i="4"/>
  <c r="C4" i="4"/>
  <c r="C3" i="4"/>
  <c r="C6" i="4"/>
  <c r="C13" i="4"/>
  <c r="E3" i="4"/>
  <c r="E9" i="4"/>
  <c r="C12" i="4"/>
  <c r="G10" i="4"/>
  <c r="E14" i="4"/>
  <c r="C5" i="4"/>
  <c r="E10" i="4"/>
  <c r="E4" i="4"/>
  <c r="F16" i="19"/>
  <c r="B5" i="7"/>
  <c r="B6" i="7" s="1"/>
  <c r="C4" i="7"/>
  <c r="G9" i="4"/>
  <c r="G7" i="4"/>
  <c r="E12" i="8" l="1"/>
  <c r="C12" i="8"/>
  <c r="G12" i="8" s="1"/>
  <c r="B16" i="8"/>
  <c r="D15" i="8"/>
  <c r="A8" i="6"/>
  <c r="A9" i="6" s="1"/>
  <c r="A10" i="6" s="1"/>
  <c r="C5" i="7"/>
  <c r="F12" i="8" l="1"/>
  <c r="A13" i="8"/>
  <c r="D16" i="8"/>
  <c r="B17" i="8"/>
  <c r="B9" i="6"/>
  <c r="B8" i="6"/>
  <c r="A11" i="6"/>
  <c r="B10" i="6"/>
  <c r="B7" i="7"/>
  <c r="C6" i="7"/>
  <c r="D17" i="8" l="1"/>
  <c r="B18" i="8"/>
  <c r="E13" i="8"/>
  <c r="C13" i="8"/>
  <c r="G13" i="8" s="1"/>
  <c r="A12" i="6"/>
  <c r="B11" i="6"/>
  <c r="B8" i="7"/>
  <c r="C7" i="7"/>
  <c r="F13" i="8" l="1"/>
  <c r="A14" i="8"/>
  <c r="D18" i="8"/>
  <c r="B12" i="6"/>
  <c r="B9" i="7"/>
  <c r="C8" i="7"/>
  <c r="C14" i="8" l="1"/>
  <c r="G14" i="8" s="1"/>
  <c r="E14" i="8"/>
  <c r="A14" i="6"/>
  <c r="B13" i="6"/>
  <c r="C9" i="7"/>
  <c r="B10" i="7"/>
  <c r="F14" i="8" l="1"/>
  <c r="A15" i="8"/>
  <c r="A15" i="6"/>
  <c r="B14" i="6"/>
  <c r="C10" i="7"/>
  <c r="B11" i="7"/>
  <c r="C15" i="8" l="1"/>
  <c r="G15" i="8" s="1"/>
  <c r="E15" i="8"/>
  <c r="A16" i="6"/>
  <c r="B15" i="6"/>
  <c r="B12" i="7"/>
  <c r="C11" i="7"/>
  <c r="A16" i="8" l="1"/>
  <c r="F15" i="8"/>
  <c r="A17" i="6"/>
  <c r="B16" i="6"/>
  <c r="C12" i="7"/>
  <c r="B13" i="7"/>
  <c r="E16" i="8" l="1"/>
  <c r="C16" i="8"/>
  <c r="G16" i="8" s="1"/>
  <c r="A18" i="6"/>
  <c r="B17" i="6"/>
  <c r="C13" i="7"/>
  <c r="B14" i="7"/>
  <c r="A17" i="8" l="1"/>
  <c r="F16" i="8"/>
  <c r="A19" i="6"/>
  <c r="B18" i="6"/>
  <c r="B15" i="7"/>
  <c r="C14" i="7"/>
  <c r="E17" i="8" l="1"/>
  <c r="C17" i="8"/>
  <c r="A20" i="6"/>
  <c r="B19" i="6"/>
  <c r="C15" i="7"/>
  <c r="B16" i="7"/>
  <c r="F17" i="8" l="1"/>
  <c r="A18" i="8"/>
  <c r="B20" i="6"/>
  <c r="C16" i="7"/>
  <c r="B17" i="7"/>
  <c r="C18" i="8" l="1"/>
  <c r="G18" i="8" s="1"/>
  <c r="E18" i="8"/>
  <c r="B21" i="6"/>
  <c r="C17" i="7"/>
  <c r="B18" i="7"/>
  <c r="A35" i="5"/>
  <c r="B35" i="5" s="1"/>
  <c r="A13" i="5"/>
  <c r="B13" i="5" s="1"/>
  <c r="A3" i="5"/>
  <c r="B3" i="5" s="1"/>
  <c r="F18" i="8" l="1"/>
  <c r="A23" i="6"/>
  <c r="B22" i="6"/>
  <c r="C18" i="7"/>
  <c r="B19" i="7"/>
  <c r="A4" i="5"/>
  <c r="A36" i="5"/>
  <c r="A14" i="5"/>
  <c r="B14" i="5" s="1"/>
  <c r="A24" i="6" l="1"/>
  <c r="B23" i="6"/>
  <c r="A37" i="5"/>
  <c r="B36" i="5"/>
  <c r="A5" i="5"/>
  <c r="B4" i="5"/>
  <c r="C19" i="7"/>
  <c r="B20" i="7"/>
  <c r="A15" i="5"/>
  <c r="B15" i="5" s="1"/>
  <c r="A25" i="6" l="1"/>
  <c r="B24" i="6"/>
  <c r="B5" i="5"/>
  <c r="A6" i="5"/>
  <c r="B37" i="5"/>
  <c r="A38" i="5"/>
  <c r="B21" i="7"/>
  <c r="C20" i="7"/>
  <c r="A16" i="5"/>
  <c r="B16" i="5" s="1"/>
  <c r="A26" i="6" l="1"/>
  <c r="B25" i="6"/>
  <c r="B6" i="5"/>
  <c r="A7" i="5"/>
  <c r="B38" i="5"/>
  <c r="A39" i="5"/>
  <c r="C21" i="7"/>
  <c r="B22" i="7"/>
  <c r="A17" i="5"/>
  <c r="B17" i="5" s="1"/>
  <c r="A27" i="6" l="1"/>
  <c r="B26" i="6"/>
  <c r="B39" i="5"/>
  <c r="A40" i="5"/>
  <c r="B7" i="5"/>
  <c r="A8" i="5"/>
  <c r="C22" i="7"/>
  <c r="B23" i="7"/>
  <c r="A18" i="5"/>
  <c r="B18" i="5" s="1"/>
  <c r="A28" i="6" l="1"/>
  <c r="B27" i="6"/>
  <c r="B40" i="5"/>
  <c r="A41" i="5"/>
  <c r="B8" i="5"/>
  <c r="A9" i="5"/>
  <c r="C23" i="7"/>
  <c r="B24" i="7"/>
  <c r="A19" i="5"/>
  <c r="B19" i="5" s="1"/>
  <c r="A29" i="6" l="1"/>
  <c r="B28" i="6"/>
  <c r="B9" i="5"/>
  <c r="A10" i="5"/>
  <c r="B41" i="5"/>
  <c r="A42" i="5"/>
  <c r="B25" i="7"/>
  <c r="C24" i="7"/>
  <c r="A20" i="5"/>
  <c r="B20" i="5" s="1"/>
  <c r="A30" i="6" l="1"/>
  <c r="B29" i="6"/>
  <c r="B42" i="5"/>
  <c r="A43" i="5"/>
  <c r="B10" i="5"/>
  <c r="A11" i="5"/>
  <c r="B11" i="5" s="1"/>
  <c r="C25" i="7"/>
  <c r="B26" i="7"/>
  <c r="A21" i="5"/>
  <c r="B21" i="5" s="1"/>
  <c r="B30" i="6" l="1"/>
  <c r="B43" i="5"/>
  <c r="A44" i="5"/>
  <c r="B27" i="7"/>
  <c r="C26" i="7"/>
  <c r="A22" i="5"/>
  <c r="B22" i="5" s="1"/>
  <c r="B44" i="5" l="1"/>
  <c r="A45" i="5"/>
  <c r="C27" i="7"/>
  <c r="B28" i="7"/>
  <c r="A23" i="5"/>
  <c r="B23" i="5" s="1"/>
  <c r="B45" i="5" l="1"/>
  <c r="A46" i="5"/>
  <c r="B29" i="7"/>
  <c r="C28" i="7"/>
  <c r="A24" i="5"/>
  <c r="B24" i="5" s="1"/>
  <c r="B46" i="5" l="1"/>
  <c r="A47" i="5"/>
  <c r="C29" i="7"/>
  <c r="B30" i="7"/>
  <c r="A25" i="5"/>
  <c r="B25" i="5" s="1"/>
  <c r="B47" i="5" l="1"/>
  <c r="A48" i="5"/>
  <c r="B31" i="7"/>
  <c r="C30" i="7"/>
  <c r="A26" i="5"/>
  <c r="B26" i="5" s="1"/>
  <c r="B48" i="5" l="1"/>
  <c r="A49" i="5"/>
  <c r="B32" i="7"/>
  <c r="C31" i="7"/>
  <c r="A27" i="5"/>
  <c r="B27" i="5" s="1"/>
  <c r="B49" i="5" l="1"/>
  <c r="A50" i="5"/>
  <c r="B33" i="7"/>
  <c r="C32" i="7"/>
  <c r="A28" i="5"/>
  <c r="B28" i="5" s="1"/>
  <c r="B50" i="5" l="1"/>
  <c r="A51" i="5"/>
  <c r="C33" i="7"/>
  <c r="B34" i="7"/>
  <c r="A29" i="5"/>
  <c r="B29" i="5" s="1"/>
  <c r="B51" i="5" l="1"/>
  <c r="A52" i="5"/>
  <c r="C34" i="7"/>
  <c r="B35" i="7"/>
  <c r="A30" i="5"/>
  <c r="B30" i="5" s="1"/>
  <c r="B52" i="5" l="1"/>
  <c r="A53" i="5"/>
  <c r="C35" i="7"/>
  <c r="B36" i="7"/>
  <c r="A31" i="5"/>
  <c r="B31" i="5" s="1"/>
  <c r="B53" i="5" l="1"/>
  <c r="A54" i="5"/>
  <c r="B37" i="7"/>
  <c r="C36" i="7"/>
  <c r="A32" i="5"/>
  <c r="B32" i="5" s="1"/>
  <c r="B54" i="5" l="1"/>
  <c r="A55" i="5"/>
  <c r="C37" i="7"/>
  <c r="B38" i="7"/>
  <c r="A33" i="5"/>
  <c r="B33" i="5" s="1"/>
  <c r="B55" i="5" l="1"/>
  <c r="A56" i="5"/>
  <c r="C38" i="7"/>
  <c r="B39" i="7"/>
  <c r="B56" i="5" l="1"/>
  <c r="A57" i="5"/>
  <c r="B40" i="7"/>
  <c r="C39" i="7"/>
  <c r="B57" i="5" l="1"/>
  <c r="A58" i="5"/>
  <c r="B41" i="7"/>
  <c r="C40" i="7"/>
  <c r="B58" i="5" l="1"/>
  <c r="A59" i="5"/>
  <c r="B42" i="7"/>
  <c r="C41" i="7"/>
  <c r="B59" i="5" l="1"/>
  <c r="A60" i="5"/>
  <c r="B43" i="7"/>
  <c r="C42" i="7"/>
  <c r="B60" i="5" l="1"/>
  <c r="A61" i="5"/>
  <c r="C43" i="7"/>
  <c r="B44" i="7"/>
  <c r="B61" i="5" l="1"/>
  <c r="A62" i="5"/>
  <c r="B45" i="7"/>
  <c r="C44" i="7"/>
  <c r="B62" i="5" l="1"/>
  <c r="A63" i="5"/>
  <c r="C45" i="7"/>
  <c r="B46" i="7"/>
  <c r="B63" i="5" l="1"/>
  <c r="A64" i="5"/>
  <c r="C46" i="7"/>
  <c r="B47" i="7"/>
  <c r="B64" i="5" l="1"/>
  <c r="A65" i="5"/>
  <c r="C47" i="7"/>
  <c r="B48" i="7"/>
  <c r="B65" i="5" l="1"/>
  <c r="A66" i="5"/>
  <c r="B49" i="7"/>
  <c r="C48" i="7"/>
  <c r="B66" i="5" l="1"/>
  <c r="A67" i="5"/>
  <c r="C49" i="7"/>
  <c r="B50" i="7"/>
  <c r="C50" i="7" s="1"/>
  <c r="B67" i="5" l="1"/>
  <c r="A68" i="5"/>
  <c r="B68" i="5" l="1"/>
  <c r="A69" i="5"/>
  <c r="B69" i="5" l="1"/>
  <c r="A70" i="5"/>
  <c r="B70" i="5" l="1"/>
  <c r="A71" i="5"/>
  <c r="B71" i="5" l="1"/>
  <c r="A72" i="5"/>
  <c r="B72" i="5" l="1"/>
  <c r="A73" i="5"/>
  <c r="B73" i="5" l="1"/>
  <c r="A74" i="5"/>
  <c r="B74" i="5" l="1"/>
  <c r="A75" i="5"/>
  <c r="B75" i="5" s="1"/>
  <c r="E5" i="6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<sst xmlns="http://schemas.openxmlformats.org/spreadsheetml/2006/main" count="619" uniqueCount="244">
  <si>
    <t>x</t>
  </si>
  <si>
    <t>Ось X</t>
  </si>
  <si>
    <t>Ось Y</t>
  </si>
  <si>
    <t>Шаг 0,5</t>
  </si>
  <si>
    <t>Шаг 0,2</t>
  </si>
  <si>
    <t>Шаг 0,1</t>
  </si>
  <si>
    <t>x1</t>
  </si>
  <si>
    <t>x2</t>
  </si>
  <si>
    <t>P(x)</t>
  </si>
  <si>
    <t>a1</t>
  </si>
  <si>
    <t>a2</t>
  </si>
  <si>
    <t>a3</t>
  </si>
  <si>
    <t>a4</t>
  </si>
  <si>
    <t>h</t>
  </si>
  <si>
    <t>y</t>
  </si>
  <si>
    <t>Номер шага</t>
  </si>
  <si>
    <t>Проверка на точность</t>
  </si>
  <si>
    <t>Очередное приближение к корню</t>
  </si>
  <si>
    <t>Доход в 2012 г. (отчет)</t>
  </si>
  <si>
    <t>Доход в 2013 г. (план)</t>
  </si>
  <si>
    <t>Превышение доходов</t>
  </si>
  <si>
    <t>Сумма, тыс. руб</t>
  </si>
  <si>
    <t>Удельный вес, %</t>
  </si>
  <si>
    <t>В % к 2012 г.</t>
  </si>
  <si>
    <t>Статьи дохода</t>
  </si>
  <si>
    <t>1. Налоги на прибыль (доход), прирост капитала</t>
  </si>
  <si>
    <t>2. Налоги на товары и услуги, лицензионные сборы</t>
  </si>
  <si>
    <t>5. Платежи за пользование природными ресурсами</t>
  </si>
  <si>
    <t>6. Прочие налоги, пошлины и сборы</t>
  </si>
  <si>
    <t xml:space="preserve">3. Налоги на совокупный доход </t>
  </si>
  <si>
    <t>4. Налоги на имущество</t>
  </si>
  <si>
    <t>Неналоговые доходы</t>
  </si>
  <si>
    <t>2. Административные платежи и сборы</t>
  </si>
  <si>
    <t>3. Штрафные санкции</t>
  </si>
  <si>
    <t>Итого доходов</t>
  </si>
  <si>
    <t>1. Доходы от имущества, находящегося в госсобственности</t>
  </si>
  <si>
    <t>Налоговые доходы</t>
  </si>
  <si>
    <t>|значение|</t>
  </si>
  <si>
    <t>значение</t>
  </si>
  <si>
    <t>Граница отрезков локализации</t>
  </si>
  <si>
    <t>Середина отрезка</t>
  </si>
  <si>
    <t xml:space="preserve"> R границе</t>
  </si>
  <si>
    <t>Произведение F(x) на</t>
  </si>
  <si>
    <t>L границе</t>
  </si>
  <si>
    <t>L</t>
  </si>
  <si>
    <t>R</t>
  </si>
  <si>
    <t>x3</t>
  </si>
  <si>
    <t>Произведение F(x) для середины отрезка</t>
  </si>
  <si>
    <t>=</t>
  </si>
  <si>
    <t>Δx1</t>
  </si>
  <si>
    <t>Δx2</t>
  </si>
  <si>
    <t>Δx3</t>
  </si>
  <si>
    <t xml:space="preserve">A = </t>
  </si>
  <si>
    <t>B=</t>
  </si>
  <si>
    <t>X1 =  Δx1 / Δ</t>
  </si>
  <si>
    <t>X2 =  Δx2 / Δ</t>
  </si>
  <si>
    <t>X3 =  Δx3 / Δ</t>
  </si>
  <si>
    <t>Δ=</t>
  </si>
  <si>
    <t>Корни</t>
  </si>
  <si>
    <t>X=</t>
  </si>
  <si>
    <t>Y=</t>
  </si>
  <si>
    <t>Планета</t>
  </si>
  <si>
    <t>Меркурий</t>
  </si>
  <si>
    <t>Венера</t>
  </si>
  <si>
    <t>Земля</t>
  </si>
  <si>
    <t>Марс</t>
  </si>
  <si>
    <t>Юпитер</t>
  </si>
  <si>
    <t>Сатурн</t>
  </si>
  <si>
    <t>Уран</t>
  </si>
  <si>
    <t>Нептун</t>
  </si>
  <si>
    <t>Плутон</t>
  </si>
  <si>
    <t>Период  обращения, земной год</t>
  </si>
  <si>
    <t>Расстояние от Солнца,
млн км</t>
  </si>
  <si>
    <t>Диаметр, тыс.км</t>
  </si>
  <si>
    <t>Масса, Тт</t>
  </si>
  <si>
    <t>Количество спутников</t>
  </si>
  <si>
    <t>0,32*10^9</t>
  </si>
  <si>
    <t>6,0*10^9</t>
  </si>
  <si>
    <t>6,1*10^8</t>
  </si>
  <si>
    <t>19,07*10^11</t>
  </si>
  <si>
    <t>57,09*10^10</t>
  </si>
  <si>
    <t>87,24*10^9</t>
  </si>
  <si>
    <t>10,34*10^10</t>
  </si>
  <si>
    <t>0,1*10^9</t>
  </si>
  <si>
    <t>Исходная таблица</t>
  </si>
  <si>
    <t>Таблица с сортировкой данных в порядке убывания количества спутников</t>
  </si>
  <si>
    <t>Таблица с сортировкой данных в алфавитном порядке названия планет</t>
  </si>
  <si>
    <t>Таблица с сортировкой данных в порядке возрастания массы планеты</t>
  </si>
  <si>
    <t>4,86*10^9</t>
  </si>
  <si>
    <t>&gt;80</t>
  </si>
  <si>
    <t>Автофильтр (расширенный без вставки в новую таблицу) для планет с диаметром менее 4х диаметром Земли и периодом обращения более 80 земных лет</t>
  </si>
  <si>
    <t>Автофильтр (расширенный без вставки в новую таблицу) для планет с расстоянием от Солнца не менее 0,5 от Земли, массой от 1 до 100 масс Земли и не более 2-х спутников</t>
  </si>
  <si>
    <t>&lt;=2</t>
  </si>
  <si>
    <t>Автофильтр для трех планет имеющих самый большой диаметр</t>
  </si>
  <si>
    <t>планеты с периодом обращения от 10 до 100 земных лет
и количеством спутников не более 15</t>
  </si>
  <si>
    <t>&gt;10</t>
  </si>
  <si>
    <t>&lt;100</t>
  </si>
  <si>
    <t>&lt;=15</t>
  </si>
  <si>
    <t>Результат</t>
  </si>
  <si>
    <t>планеты, у которых либо диаметр не менее 4-х земных, либо масса более 100 земных масс</t>
  </si>
  <si>
    <t>среди планет без спутников тех, которые находятся от Солнца на расстоянии менее половины земного, а среди планет с не менее чем 14-ю спутниками тех, которые находятся от Солнца не ближе чем 10 земных рассто</t>
  </si>
  <si>
    <t>Ф.И.О.</t>
  </si>
  <si>
    <t>Отдел</t>
  </si>
  <si>
    <t>Количество иждивенцев</t>
  </si>
  <si>
    <t>Всего  начислено, руб.</t>
  </si>
  <si>
    <t>Процент удержания</t>
  </si>
  <si>
    <t>Всего удержано, руб.</t>
  </si>
  <si>
    <t>Сумма к выдаче, руб.</t>
  </si>
  <si>
    <t>Петухова К.И.</t>
  </si>
  <si>
    <t>Безенчук П.Ф.</t>
  </si>
  <si>
    <t>Воробьянинов И.М.</t>
  </si>
  <si>
    <t>Востриков Ф.О.</t>
  </si>
  <si>
    <t>Коробейников В.А.</t>
  </si>
  <si>
    <t>Грицацуева В.С.</t>
  </si>
  <si>
    <t>Гаврилин З.С.</t>
  </si>
  <si>
    <t>Треухов Т.И.</t>
  </si>
  <si>
    <t>Изнуренков А.В.</t>
  </si>
  <si>
    <t>Щукина Э.Е.</t>
  </si>
  <si>
    <t>Общее количество</t>
  </si>
  <si>
    <t>1 Количество</t>
  </si>
  <si>
    <t>3 Количество</t>
  </si>
  <si>
    <t>2 Количество</t>
  </si>
  <si>
    <t>январь</t>
  </si>
  <si>
    <t>Продано</t>
  </si>
  <si>
    <t>Выручка</t>
  </si>
  <si>
    <t>Телевизоры</t>
  </si>
  <si>
    <t>Ноутбуки</t>
  </si>
  <si>
    <t>Смартфоны</t>
  </si>
  <si>
    <t>Медиаплейеры</t>
  </si>
  <si>
    <t>Наименование продукции</t>
  </si>
  <si>
    <t>Исходные данные за январь</t>
  </si>
  <si>
    <t>Цена в USD</t>
  </si>
  <si>
    <t>Планшетные ПК</t>
  </si>
  <si>
    <t>Цифровые камеры</t>
  </si>
  <si>
    <t>Электронные книги</t>
  </si>
  <si>
    <t>Blu-ray плейеры</t>
  </si>
  <si>
    <t>Исходные данные за февраль</t>
  </si>
  <si>
    <t>Исходные данные за март</t>
  </si>
  <si>
    <t>Итого</t>
  </si>
  <si>
    <t>Исходные данные за квартал</t>
  </si>
  <si>
    <t>Уголь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</si>
  <si>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</si>
  <si>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</si>
  <si>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</si>
  <si>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</si>
  <si>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</si>
  <si>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</si>
  <si>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</si>
  <si>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</si>
  <si>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</si>
  <si>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</si>
  <si>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</si>
  <si>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Цены, тыс. руб. за тонну</t>
  </si>
  <si>
    <t>Период (1997 г.)</t>
  </si>
  <si>
    <t>для коксования</t>
  </si>
  <si>
    <t>Бензин автомобильный</t>
  </si>
  <si>
    <t>Нефть</t>
  </si>
  <si>
    <t>Топливо дизельное</t>
  </si>
  <si>
    <t>Мазут топочный</t>
  </si>
  <si>
    <t>Газ естесственный</t>
  </si>
  <si>
    <t>энергетический</t>
  </si>
  <si>
    <t>Соотношение цен на виды энергоресурсов с ценой на нефть %</t>
  </si>
  <si>
    <t>средняя цена за квартал</t>
  </si>
  <si>
    <t>Носферата</t>
  </si>
  <si>
    <t>0.57*10^8</t>
  </si>
  <si>
    <t>a0</t>
  </si>
  <si>
    <t>Погрешность</t>
  </si>
  <si>
    <t>данные из таблицы</t>
  </si>
  <si>
    <t>N(кол-во точек)</t>
  </si>
  <si>
    <t>|А| (start)</t>
  </si>
  <si>
    <t>|B|(finish)</t>
  </si>
  <si>
    <t>A  =</t>
  </si>
  <si>
    <t>B  =</t>
  </si>
  <si>
    <t xml:space="preserve">X = </t>
  </si>
  <si>
    <t>Левая</t>
  </si>
  <si>
    <t>Microsoft Excel 16.78 Отчет о результатах</t>
  </si>
  <si>
    <t>Лист: [Медведева Лабораторная 1.xlsx]2.6 Метод целевой фн Вар11 1</t>
  </si>
  <si>
    <t>Отчет создан: 16.08.2024 22:54:29</t>
  </si>
  <si>
    <t>Результат: Решение найдено. Все ограничения и условия оптимальности выполнены.</t>
  </si>
  <si>
    <t>Модуль поиска решения</t>
  </si>
  <si>
    <t>Модуль: Поиск решения нелинейных задач методом ОПГ</t>
  </si>
  <si>
    <t>Время решения: 4906,846 секунд.</t>
  </si>
  <si>
    <t>Число итераций: 7 Число подзадач: 0</t>
  </si>
  <si>
    <t>Параметры поиска решения</t>
  </si>
  <si>
    <t>Максимальное время Без пределов,  Число итераций Без пределов, Precision 0,000001, Использовать автоматическое масштабирование</t>
  </si>
  <si>
    <t xml:space="preserve"> Сходимость 0,0001, Размер совокупности 100, Случайное начальное значение 0, Правые производные, Обязательные границы</t>
  </si>
  <si>
    <t>Максимальное число подзадач Без пределов, Максимальное число целочисленных решений Без пределов, Целочисленное отклонение 1%, Считать неотрицательными</t>
  </si>
  <si>
    <t>Ячейка целевой функции (Значение)</t>
  </si>
  <si>
    <t>Ячейка</t>
  </si>
  <si>
    <t>Имя</t>
  </si>
  <si>
    <t>Исходное значение</t>
  </si>
  <si>
    <t>Окончательное значение</t>
  </si>
  <si>
    <t>Ячейки переменных</t>
  </si>
  <si>
    <t>Целочисленное</t>
  </si>
  <si>
    <t>Ограничения</t>
  </si>
  <si>
    <t>Значение ячейки</t>
  </si>
  <si>
    <t>Формула</t>
  </si>
  <si>
    <t>Состояние</t>
  </si>
  <si>
    <t>Допуск</t>
  </si>
  <si>
    <t>$A$15</t>
  </si>
  <si>
    <t>$B$11</t>
  </si>
  <si>
    <t>Продолжить</t>
  </si>
  <si>
    <t>$B$12</t>
  </si>
  <si>
    <t>$A$15=$B$15</t>
  </si>
  <si>
    <t>Привязка</t>
  </si>
  <si>
    <t>$A$16</t>
  </si>
  <si>
    <t>$A$16=$B$16</t>
  </si>
  <si>
    <t>$A$15=0</t>
  </si>
  <si>
    <t>Microsoft Excel 16.78 Отчет об устойчивости</t>
  </si>
  <si>
    <t>Окончательное</t>
  </si>
  <si>
    <t>Значение</t>
  </si>
  <si>
    <t>Приведенн.</t>
  </si>
  <si>
    <t>Градиент</t>
  </si>
  <si>
    <t>Лагранжа</t>
  </si>
  <si>
    <t>Множитель</t>
  </si>
  <si>
    <t>Microsoft Excel 16.78 Отчет о пределах</t>
  </si>
  <si>
    <t>Целевая функция</t>
  </si>
  <si>
    <t>Переменная</t>
  </si>
  <si>
    <t>Нижний</t>
  </si>
  <si>
    <t>Предел</t>
  </si>
  <si>
    <t>Верхний</t>
  </si>
  <si>
    <t>Относительная таблица</t>
  </si>
  <si>
    <t>&gt;=1</t>
  </si>
  <si>
    <t>&gt;0,5</t>
  </si>
  <si>
    <t>&gt;=0,5</t>
  </si>
  <si>
    <t>Ранг</t>
  </si>
  <si>
    <t>&lt;=3</t>
  </si>
  <si>
    <t>&gt;=100</t>
  </si>
  <si>
    <t>&gt;=4</t>
  </si>
  <si>
    <t>&gt;=10</t>
  </si>
  <si>
    <t>=0</t>
  </si>
  <si>
    <t>&gt;=14</t>
  </si>
  <si>
    <t>Квартал</t>
  </si>
  <si>
    <t>Названия строк</t>
  </si>
  <si>
    <t>Общий итог</t>
  </si>
  <si>
    <t>Количество по полю Отдел</t>
  </si>
  <si>
    <t>Диаметр, кол-во земных</t>
  </si>
  <si>
    <t>&lt;4</t>
  </si>
  <si>
    <t>Масса, относительно Земли</t>
  </si>
  <si>
    <t>Расстояние от Солнца</t>
  </si>
  <si>
    <t>Диаметр</t>
  </si>
  <si>
    <t>Целевая фн</t>
  </si>
  <si>
    <t>Значения X</t>
  </si>
  <si>
    <t>Значения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</si>
</sst>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0000"/>
    <numFmt numFmtId="165" formatCode="0.0"/>
    <numFmt numFmtId="166" formatCode="#,##0.0"/>
    <numFmt numFmtId="167" formatCode="0.0000"/>
  </numFmts>
  <fonts count="18" x14ac:knownFonts="1">
    <font>
      <sz val="12"/>
      <color theme="1"/>
      <name val="Calibri"/>
      <family val="2"/>
      <charset val="204"/>
      <scheme val="minor"/>
    </font>
    <font>
      <sz val="14"/>
      <color theme="1"/>
      <name val="Times New Roman"/>
      <family val="1"/>
    </font>
    <font>
      <i/>
      <sz val="14"/>
      <color theme="1"/>
      <name val="Times New Roman"/>
      <family val="1"/>
    </font>
    <font>
      <sz val="11"/>
      <color theme="1"/>
      <name val="Times New Roman"/>
      <family val="1"/>
    </font>
    <font>
      <u/>
      <sz val="12"/>
      <color theme="10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8"/>
      <color theme="1"/>
      <name val="Calibri"/>
      <family val="2"/>
      <charset val="204"/>
      <scheme val="minor"/>
    </font>
    <font>
      <sz val="26"/>
      <color theme="1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charset val="204"/>
      <scheme val="minor"/>
    </font>
    <font>
      <b/>
      <sz val="12"/>
      <color theme="0"/>
      <name val="Calibri"/>
      <family val="2"/>
      <scheme val="minor"/>
    </font>
    <font>
      <sz val="22"/>
      <color theme="1"/>
      <name val="Calibri"/>
      <family val="2"/>
      <charset val="204"/>
      <scheme val="minor"/>
    </font>
    <font>
      <b/>
      <sz val="12"/>
      <color indexed="18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4" fillId="0" borderId="0" applyNumberFormat="0" applyFill="0" applyBorder="0" applyAlignment="0" applyProtection="0"/>
    <xf numFmtId="0" fontId="7" fillId="0" borderId="0"/>
    <xf numFmtId="43" fontId="10" fillId="0" borderId="0" applyFont="0" applyFill="0" applyBorder="0" applyAlignment="0" applyProtection="0"/>
  </cellStyleXfs>
  <cellXfs count="23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0" xfId="1" applyAlignment="1">
      <alignment horizontal="justify" vertical="center"/>
    </xf>
    <xf numFmtId="0" fontId="5" fillId="0" borderId="0" xfId="0" applyFont="1"/>
    <xf numFmtId="2" fontId="0" fillId="0" borderId="0" xfId="0" applyNumberFormat="1"/>
    <xf numFmtId="4" fontId="0" fillId="0" borderId="0" xfId="0" applyNumberFormat="1"/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0" fontId="5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165" fontId="9" fillId="0" borderId="0" xfId="0" applyNumberFormat="1" applyFont="1"/>
    <xf numFmtId="0" fontId="0" fillId="0" borderId="2" xfId="0" applyBorder="1"/>
    <xf numFmtId="0" fontId="7" fillId="0" borderId="0" xfId="0" applyFont="1" applyAlignment="1">
      <alignment wrapText="1"/>
    </xf>
    <xf numFmtId="0" fontId="7" fillId="0" borderId="0" xfId="0" applyFon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11" fillId="0" borderId="0" xfId="0" applyFont="1" applyAlignment="1">
      <alignment vertical="center"/>
    </xf>
    <xf numFmtId="0" fontId="0" fillId="0" borderId="0" xfId="0" applyAlignment="1">
      <alignment shrinkToFit="1"/>
    </xf>
    <xf numFmtId="2" fontId="0" fillId="0" borderId="0" xfId="0" applyNumberFormat="1" applyAlignment="1">
      <alignment shrinkToFit="1"/>
    </xf>
    <xf numFmtId="2" fontId="0" fillId="0" borderId="0" xfId="3" applyNumberFormat="1" applyFont="1" applyAlignment="1">
      <alignment shrinkToFit="1"/>
    </xf>
    <xf numFmtId="2" fontId="0" fillId="0" borderId="0" xfId="3" applyNumberFormat="1" applyFont="1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9" fillId="0" borderId="0" xfId="0" applyFont="1"/>
    <xf numFmtId="0" fontId="9" fillId="0" borderId="0" xfId="0" applyFont="1" applyAlignment="1">
      <alignment wrapText="1"/>
    </xf>
    <xf numFmtId="0" fontId="0" fillId="0" borderId="0" xfId="0" applyAlignment="1">
      <alignment vertical="center" wrapText="1"/>
    </xf>
    <xf numFmtId="0" fontId="0" fillId="0" borderId="0" xfId="0" quotePrefix="1"/>
    <xf numFmtId="4" fontId="0" fillId="0" borderId="0" xfId="0" applyNumberFormat="1" applyAlignment="1">
      <alignment horizontal="right" vertical="center"/>
    </xf>
    <xf numFmtId="4" fontId="0" fillId="0" borderId="0" xfId="0" applyNumberFormat="1" applyAlignment="1">
      <alignment horizontal="right" vertical="center" wrapText="1"/>
    </xf>
    <xf numFmtId="0" fontId="0" fillId="0" borderId="0" xfId="0" pivotButton="1"/>
    <xf numFmtId="1" fontId="13" fillId="3" borderId="0" xfId="0" applyNumberFormat="1" applyFont="1" applyFill="1"/>
    <xf numFmtId="0" fontId="13" fillId="3" borderId="0" xfId="0" applyFont="1" applyFill="1"/>
    <xf numFmtId="4" fontId="13" fillId="3" borderId="0" xfId="0" applyNumberFormat="1" applyFont="1" applyFill="1"/>
    <xf numFmtId="1" fontId="13" fillId="4" borderId="0" xfId="0" applyNumberFormat="1" applyFont="1" applyFill="1"/>
    <xf numFmtId="0" fontId="13" fillId="4" borderId="0" xfId="0" applyFont="1" applyFill="1"/>
    <xf numFmtId="49" fontId="0" fillId="0" borderId="0" xfId="0" applyNumberFormat="1"/>
    <xf numFmtId="1" fontId="0" fillId="0" borderId="2" xfId="0" applyNumberFormat="1" applyBorder="1"/>
    <xf numFmtId="1" fontId="0" fillId="0" borderId="2" xfId="0" applyNumberFormat="1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/>
    <xf numFmtId="165" fontId="5" fillId="0" borderId="0" xfId="0" applyNumberFormat="1" applyFont="1"/>
    <xf numFmtId="165" fontId="8" fillId="0" borderId="0" xfId="0" applyNumberFormat="1" applyFont="1"/>
    <xf numFmtId="0" fontId="7" fillId="0" borderId="0" xfId="2"/>
    <xf numFmtId="0" fontId="0" fillId="0" borderId="1" xfId="0" applyBorder="1" applyAlignment="1">
      <alignment horizontal="center" vertical="center" wrapText="1"/>
    </xf>
    <xf numFmtId="164" fontId="0" fillId="0" borderId="7" xfId="0" applyNumberFormat="1" applyBorder="1"/>
    <xf numFmtId="164" fontId="0" fillId="0" borderId="8" xfId="0" applyNumberFormat="1" applyBorder="1"/>
    <xf numFmtId="164" fontId="0" fillId="3" borderId="14" xfId="0" applyNumberFormat="1" applyFill="1" applyBorder="1"/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horizontal="center"/>
    </xf>
    <xf numFmtId="164" fontId="15" fillId="5" borderId="16" xfId="0" applyNumberFormat="1" applyFont="1" applyFill="1" applyBorder="1"/>
    <xf numFmtId="164" fontId="15" fillId="5" borderId="10" xfId="0" applyNumberFormat="1" applyFont="1" applyFill="1" applyBorder="1" applyAlignment="1">
      <alignment horizontal="center"/>
    </xf>
    <xf numFmtId="164" fontId="15" fillId="5" borderId="11" xfId="0" applyNumberFormat="1" applyFont="1" applyFill="1" applyBorder="1" applyAlignment="1">
      <alignment horizontal="center"/>
    </xf>
    <xf numFmtId="164" fontId="15" fillId="5" borderId="5" xfId="0" applyNumberFormat="1" applyFont="1" applyFill="1" applyBorder="1" applyAlignment="1">
      <alignment horizontal="center"/>
    </xf>
    <xf numFmtId="164" fontId="15" fillId="5" borderId="6" xfId="0" applyNumberFormat="1" applyFont="1" applyFill="1" applyBorder="1" applyAlignment="1">
      <alignment horizontal="center"/>
    </xf>
    <xf numFmtId="164" fontId="15" fillId="5" borderId="9" xfId="0" applyNumberFormat="1" applyFont="1" applyFill="1" applyBorder="1" applyAlignment="1">
      <alignment horizontal="center"/>
    </xf>
    <xf numFmtId="164" fontId="14" fillId="5" borderId="4" xfId="0" applyNumberFormat="1" applyFont="1" applyFill="1" applyBorder="1" applyAlignment="1">
      <alignment horizontal="center"/>
    </xf>
    <xf numFmtId="164" fontId="0" fillId="0" borderId="3" xfId="0" applyNumberFormat="1" applyBorder="1"/>
    <xf numFmtId="164" fontId="0" fillId="0" borderId="12" xfId="0" applyNumberFormat="1" applyBorder="1"/>
    <xf numFmtId="164" fontId="0" fillId="3" borderId="13" xfId="0" applyNumberFormat="1" applyFill="1" applyBorder="1"/>
    <xf numFmtId="164" fontId="0" fillId="3" borderId="15" xfId="0" applyNumberFormat="1" applyFill="1" applyBorder="1"/>
    <xf numFmtId="164" fontId="14" fillId="5" borderId="17" xfId="0" applyNumberFormat="1" applyFont="1" applyFill="1" applyBorder="1" applyAlignment="1">
      <alignment horizontal="center"/>
    </xf>
    <xf numFmtId="164" fontId="6" fillId="0" borderId="0" xfId="0" applyNumberFormat="1" applyFont="1"/>
    <xf numFmtId="164" fontId="0" fillId="0" borderId="0" xfId="0" applyNumberFormat="1" applyBorder="1"/>
    <xf numFmtId="164" fontId="0" fillId="3" borderId="17" xfId="0" applyNumberFormat="1" applyFill="1" applyBorder="1"/>
    <xf numFmtId="164" fontId="15" fillId="5" borderId="16" xfId="0" applyNumberFormat="1" applyFont="1" applyFill="1" applyBorder="1" applyAlignment="1">
      <alignment horizontal="center"/>
    </xf>
    <xf numFmtId="164" fontId="0" fillId="0" borderId="14" xfId="0" applyNumberFormat="1" applyBorder="1"/>
    <xf numFmtId="164" fontId="0" fillId="0" borderId="15" xfId="0" applyNumberFormat="1" applyBorder="1"/>
    <xf numFmtId="164" fontId="15" fillId="5" borderId="26" xfId="0" applyNumberFormat="1" applyFont="1" applyFill="1" applyBorder="1" applyAlignment="1">
      <alignment horizontal="center"/>
    </xf>
    <xf numFmtId="1" fontId="0" fillId="3" borderId="15" xfId="0" applyNumberFormat="1" applyFill="1" applyBorder="1"/>
    <xf numFmtId="164" fontId="0" fillId="0" borderId="0" xfId="0" applyNumberFormat="1" applyBorder="1" applyAlignment="1">
      <alignment horizontal="center"/>
    </xf>
    <xf numFmtId="167" fontId="0" fillId="0" borderId="0" xfId="0" applyNumberFormat="1"/>
    <xf numFmtId="167" fontId="0" fillId="0" borderId="0" xfId="0" applyNumberFormat="1" applyAlignment="1">
      <alignment vertical="center" wrapText="1"/>
    </xf>
    <xf numFmtId="167" fontId="7" fillId="0" borderId="0" xfId="0" applyNumberFormat="1" applyFont="1" applyAlignment="1">
      <alignment vertical="center" wrapText="1"/>
    </xf>
    <xf numFmtId="167" fontId="7" fillId="0" borderId="0" xfId="0" applyNumberFormat="1" applyFont="1" applyAlignment="1">
      <alignment wrapText="1"/>
    </xf>
    <xf numFmtId="167" fontId="0" fillId="0" borderId="0" xfId="0" applyNumberFormat="1" applyFill="1"/>
    <xf numFmtId="166" fontId="11" fillId="0" borderId="20" xfId="0" applyNumberFormat="1" applyFont="1" applyBorder="1" applyAlignment="1">
      <alignment vertical="center"/>
    </xf>
    <xf numFmtId="166" fontId="11" fillId="0" borderId="25" xfId="0" applyNumberFormat="1" applyFont="1" applyBorder="1" applyAlignment="1">
      <alignment vertical="center"/>
    </xf>
    <xf numFmtId="166" fontId="11" fillId="0" borderId="21" xfId="0" applyNumberFormat="1" applyFont="1" applyBorder="1" applyAlignment="1">
      <alignment vertical="center"/>
    </xf>
    <xf numFmtId="166" fontId="11" fillId="0" borderId="1" xfId="0" applyNumberFormat="1" applyFont="1" applyBorder="1" applyAlignment="1">
      <alignment vertical="center"/>
    </xf>
    <xf numFmtId="166" fontId="11" fillId="0" borderId="0" xfId="0" applyNumberFormat="1" applyFont="1" applyBorder="1" applyAlignment="1">
      <alignment vertical="center"/>
    </xf>
    <xf numFmtId="166" fontId="11" fillId="0" borderId="2" xfId="0" applyNumberFormat="1" applyFont="1" applyBorder="1" applyAlignment="1">
      <alignment vertical="center"/>
    </xf>
    <xf numFmtId="166" fontId="11" fillId="0" borderId="22" xfId="0" applyNumberFormat="1" applyFont="1" applyBorder="1" applyAlignment="1">
      <alignment vertical="center"/>
    </xf>
    <xf numFmtId="166" fontId="11" fillId="0" borderId="18" xfId="0" applyNumberFormat="1" applyFont="1" applyBorder="1" applyAlignment="1">
      <alignment vertical="center"/>
    </xf>
    <xf numFmtId="166" fontId="11" fillId="0" borderId="23" xfId="0" applyNumberFormat="1" applyFont="1" applyBorder="1" applyAlignment="1">
      <alignment vertical="center"/>
    </xf>
    <xf numFmtId="0" fontId="16" fillId="0" borderId="3" xfId="0" applyFont="1" applyBorder="1"/>
    <xf numFmtId="0" fontId="11" fillId="0" borderId="19" xfId="0" applyFont="1" applyBorder="1" applyAlignment="1">
      <alignment vertical="center"/>
    </xf>
    <xf numFmtId="0" fontId="11" fillId="0" borderId="28" xfId="0" applyFont="1" applyBorder="1" applyAlignment="1">
      <alignment vertical="center"/>
    </xf>
    <xf numFmtId="0" fontId="11" fillId="0" borderId="4" xfId="0" applyFont="1" applyBorder="1" applyAlignment="1">
      <alignment vertical="center"/>
    </xf>
    <xf numFmtId="0" fontId="16" fillId="0" borderId="19" xfId="0" applyFont="1" applyBorder="1"/>
    <xf numFmtId="166" fontId="11" fillId="0" borderId="29" xfId="0" applyNumberFormat="1" applyFont="1" applyBorder="1" applyAlignment="1">
      <alignment vertical="center"/>
    </xf>
    <xf numFmtId="166" fontId="11" fillId="0" borderId="30" xfId="0" applyNumberFormat="1" applyFont="1" applyBorder="1" applyAlignment="1">
      <alignment vertical="center"/>
    </xf>
    <xf numFmtId="166" fontId="11" fillId="0" borderId="31" xfId="0" applyNumberFormat="1" applyFont="1" applyBorder="1" applyAlignment="1">
      <alignment vertical="center"/>
    </xf>
    <xf numFmtId="0" fontId="0" fillId="0" borderId="20" xfId="0" applyBorder="1"/>
    <xf numFmtId="0" fontId="0" fillId="0" borderId="22" xfId="0" applyBorder="1"/>
    <xf numFmtId="0" fontId="0" fillId="0" borderId="0" xfId="0" applyFill="1"/>
    <xf numFmtId="165" fontId="11" fillId="0" borderId="0" xfId="0" applyNumberFormat="1" applyFont="1" applyFill="1" applyAlignment="1">
      <alignment vertical="center"/>
    </xf>
    <xf numFmtId="0" fontId="12" fillId="0" borderId="0" xfId="0" applyFont="1" applyFill="1" applyAlignment="1">
      <alignment horizontal="center"/>
    </xf>
    <xf numFmtId="0" fontId="11" fillId="0" borderId="0" xfId="0" applyFont="1" applyFill="1" applyAlignment="1">
      <alignment vertical="center"/>
    </xf>
    <xf numFmtId="0" fontId="0" fillId="0" borderId="20" xfId="0" applyFill="1" applyBorder="1"/>
    <xf numFmtId="165" fontId="11" fillId="0" borderId="25" xfId="0" applyNumberFormat="1" applyFont="1" applyFill="1" applyBorder="1" applyAlignment="1">
      <alignment vertical="center"/>
    </xf>
    <xf numFmtId="0" fontId="0" fillId="0" borderId="25" xfId="0" applyFill="1" applyBorder="1"/>
    <xf numFmtId="0" fontId="0" fillId="0" borderId="21" xfId="0" applyFill="1" applyBorder="1"/>
    <xf numFmtId="0" fontId="12" fillId="0" borderId="1" xfId="0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vertical="center"/>
    </xf>
    <xf numFmtId="0" fontId="12" fillId="0" borderId="0" xfId="0" applyFont="1" applyFill="1" applyBorder="1" applyAlignment="1">
      <alignment horizontal="center"/>
    </xf>
    <xf numFmtId="165" fontId="11" fillId="0" borderId="2" xfId="0" applyNumberFormat="1" applyFont="1" applyFill="1" applyBorder="1" applyAlignment="1">
      <alignment vertical="center"/>
    </xf>
    <xf numFmtId="0" fontId="0" fillId="0" borderId="22" xfId="0" applyFill="1" applyBorder="1"/>
    <xf numFmtId="165" fontId="11" fillId="0" borderId="18" xfId="0" applyNumberFormat="1" applyFont="1" applyFill="1" applyBorder="1" applyAlignment="1">
      <alignment vertical="center"/>
    </xf>
    <xf numFmtId="0" fontId="0" fillId="0" borderId="18" xfId="0" applyFill="1" applyBorder="1"/>
    <xf numFmtId="165" fontId="11" fillId="0" borderId="23" xfId="0" applyNumberFormat="1" applyFont="1" applyFill="1" applyBorder="1" applyAlignment="1">
      <alignment vertical="center"/>
    </xf>
    <xf numFmtId="165" fontId="11" fillId="0" borderId="21" xfId="0" applyNumberFormat="1" applyFont="1" applyFill="1" applyBorder="1" applyAlignment="1">
      <alignment vertical="center"/>
    </xf>
    <xf numFmtId="0" fontId="11" fillId="0" borderId="21" xfId="0" applyFont="1" applyFill="1" applyBorder="1" applyAlignment="1">
      <alignment vertical="center"/>
    </xf>
    <xf numFmtId="0" fontId="11" fillId="0" borderId="23" xfId="0" applyFont="1" applyFill="1" applyBorder="1" applyAlignment="1">
      <alignment vertical="center"/>
    </xf>
    <xf numFmtId="0" fontId="12" fillId="0" borderId="19" xfId="0" applyFont="1" applyFill="1" applyBorder="1" applyAlignment="1">
      <alignment horizontal="center"/>
    </xf>
    <xf numFmtId="0" fontId="11" fillId="0" borderId="4" xfId="0" applyFont="1" applyFill="1" applyBorder="1" applyAlignment="1">
      <alignment vertical="center"/>
    </xf>
    <xf numFmtId="0" fontId="11" fillId="0" borderId="2" xfId="0" applyFont="1" applyFill="1" applyBorder="1" applyAlignment="1">
      <alignment vertical="center"/>
    </xf>
    <xf numFmtId="165" fontId="11" fillId="0" borderId="4" xfId="0" applyNumberFormat="1" applyFont="1" applyFill="1" applyBorder="1" applyAlignment="1">
      <alignment vertical="center"/>
    </xf>
    <xf numFmtId="0" fontId="0" fillId="0" borderId="20" xfId="0" applyFill="1" applyBorder="1" applyAlignment="1">
      <alignment horizontal="right" vertical="center"/>
    </xf>
    <xf numFmtId="165" fontId="11" fillId="0" borderId="25" xfId="0" applyNumberFormat="1" applyFont="1" applyFill="1" applyBorder="1" applyAlignment="1">
      <alignment horizontal="right" vertical="center"/>
    </xf>
    <xf numFmtId="0" fontId="0" fillId="0" borderId="25" xfId="0" applyFill="1" applyBorder="1" applyAlignment="1">
      <alignment horizontal="right" vertical="center"/>
    </xf>
    <xf numFmtId="165" fontId="11" fillId="0" borderId="21" xfId="0" applyNumberFormat="1" applyFont="1" applyFill="1" applyBorder="1" applyAlignment="1">
      <alignment horizontal="right" vertical="center"/>
    </xf>
    <xf numFmtId="0" fontId="12" fillId="0" borderId="1" xfId="0" applyFont="1" applyFill="1" applyBorder="1" applyAlignment="1">
      <alignment horizontal="right" vertical="center"/>
    </xf>
    <xf numFmtId="165" fontId="11" fillId="0" borderId="0" xfId="0" applyNumberFormat="1" applyFont="1" applyFill="1" applyBorder="1" applyAlignment="1">
      <alignment horizontal="right" vertical="center"/>
    </xf>
    <xf numFmtId="0" fontId="12" fillId="0" borderId="0" xfId="0" applyFont="1" applyFill="1" applyBorder="1" applyAlignment="1">
      <alignment horizontal="right" vertical="center"/>
    </xf>
    <xf numFmtId="165" fontId="11" fillId="0" borderId="2" xfId="0" applyNumberFormat="1" applyFont="1" applyFill="1" applyBorder="1" applyAlignment="1">
      <alignment horizontal="right" vertical="center"/>
    </xf>
    <xf numFmtId="0" fontId="0" fillId="0" borderId="22" xfId="0" applyFill="1" applyBorder="1" applyAlignment="1">
      <alignment horizontal="right" vertical="center"/>
    </xf>
    <xf numFmtId="165" fontId="11" fillId="0" borderId="18" xfId="0" applyNumberFormat="1" applyFont="1" applyFill="1" applyBorder="1" applyAlignment="1">
      <alignment horizontal="right" vertical="center"/>
    </xf>
    <xf numFmtId="0" fontId="0" fillId="0" borderId="18" xfId="0" applyFill="1" applyBorder="1" applyAlignment="1">
      <alignment horizontal="right" vertical="center"/>
    </xf>
    <xf numFmtId="165" fontId="11" fillId="0" borderId="23" xfId="0" applyNumberFormat="1" applyFont="1" applyFill="1" applyBorder="1" applyAlignment="1">
      <alignment horizontal="right" vertical="center"/>
    </xf>
    <xf numFmtId="0" fontId="0" fillId="0" borderId="23" xfId="0" applyFill="1" applyBorder="1"/>
    <xf numFmtId="0" fontId="13" fillId="0" borderId="0" xfId="0" applyFont="1"/>
    <xf numFmtId="0" fontId="0" fillId="0" borderId="35" xfId="0" applyFill="1" applyBorder="1" applyAlignment="1"/>
    <xf numFmtId="0" fontId="17" fillId="0" borderId="34" xfId="0" applyFont="1" applyFill="1" applyBorder="1" applyAlignment="1">
      <alignment horizontal="center"/>
    </xf>
    <xf numFmtId="0" fontId="0" fillId="0" borderId="36" xfId="0" applyFill="1" applyBorder="1" applyAlignment="1"/>
    <xf numFmtId="0" fontId="0" fillId="0" borderId="35" xfId="0" applyNumberFormat="1" applyFill="1" applyBorder="1" applyAlignment="1"/>
    <xf numFmtId="2" fontId="0" fillId="0" borderId="36" xfId="0" applyNumberFormat="1" applyFill="1" applyBorder="1" applyAlignment="1"/>
    <xf numFmtId="2" fontId="0" fillId="0" borderId="35" xfId="0" applyNumberFormat="1" applyFill="1" applyBorder="1" applyAlignment="1"/>
    <xf numFmtId="0" fontId="0" fillId="0" borderId="0" xfId="0" applyNumberFormat="1"/>
    <xf numFmtId="0" fontId="0" fillId="0" borderId="36" xfId="0" applyNumberFormat="1" applyFill="1" applyBorder="1" applyAlignment="1"/>
    <xf numFmtId="0" fontId="17" fillId="0" borderId="32" xfId="0" applyFont="1" applyFill="1" applyBorder="1" applyAlignment="1">
      <alignment horizontal="center"/>
    </xf>
    <xf numFmtId="0" fontId="17" fillId="0" borderId="33" xfId="0" applyFont="1" applyFill="1" applyBorder="1" applyAlignment="1">
      <alignment horizontal="center"/>
    </xf>
    <xf numFmtId="165" fontId="0" fillId="0" borderId="0" xfId="0" applyNumberFormat="1" applyBorder="1"/>
    <xf numFmtId="1" fontId="0" fillId="0" borderId="0" xfId="0" applyNumberFormat="1" applyBorder="1"/>
    <xf numFmtId="0" fontId="0" fillId="0" borderId="1" xfId="0" applyBorder="1" applyAlignment="1">
      <alignment horizontal="left" vertical="center" wrapText="1"/>
    </xf>
    <xf numFmtId="165" fontId="0" fillId="0" borderId="0" xfId="0" applyNumberFormat="1" applyBorder="1" applyAlignment="1">
      <alignment vertical="center"/>
    </xf>
    <xf numFmtId="1" fontId="0" fillId="0" borderId="0" xfId="0" applyNumberFormat="1" applyBorder="1" applyAlignment="1">
      <alignment vertical="center"/>
    </xf>
    <xf numFmtId="0" fontId="0" fillId="0" borderId="18" xfId="0" applyBorder="1"/>
    <xf numFmtId="0" fontId="0" fillId="0" borderId="23" xfId="0" applyBorder="1"/>
    <xf numFmtId="0" fontId="0" fillId="0" borderId="30" xfId="0" applyBorder="1"/>
    <xf numFmtId="0" fontId="0" fillId="0" borderId="30" xfId="0" applyBorder="1" applyAlignment="1">
      <alignment horizontal="left" vertical="center" wrapText="1"/>
    </xf>
    <xf numFmtId="0" fontId="0" fillId="0" borderId="0" xfId="0" applyBorder="1"/>
    <xf numFmtId="0" fontId="0" fillId="0" borderId="22" xfId="0" applyBorder="1" applyAlignment="1">
      <alignment vertical="center" wrapText="1"/>
    </xf>
    <xf numFmtId="165" fontId="0" fillId="0" borderId="22" xfId="0" applyNumberFormat="1" applyBorder="1" applyAlignment="1">
      <alignment horizontal="right" vertical="center"/>
    </xf>
    <xf numFmtId="165" fontId="0" fillId="0" borderId="18" xfId="0" applyNumberFormat="1" applyBorder="1" applyAlignment="1">
      <alignment horizontal="right" vertical="center"/>
    </xf>
    <xf numFmtId="165" fontId="0" fillId="0" borderId="23" xfId="0" applyNumberFormat="1" applyBorder="1" applyAlignment="1">
      <alignment horizontal="right" vertical="center"/>
    </xf>
    <xf numFmtId="165" fontId="9" fillId="0" borderId="0" xfId="0" applyNumberFormat="1" applyFont="1" applyBorder="1"/>
    <xf numFmtId="0" fontId="9" fillId="0" borderId="22" xfId="0" applyFont="1" applyBorder="1" applyAlignment="1">
      <alignment wrapText="1"/>
    </xf>
    <xf numFmtId="0" fontId="9" fillId="0" borderId="0" xfId="0" applyFont="1" applyBorder="1" applyAlignment="1">
      <alignment vertical="center" wrapText="1"/>
    </xf>
    <xf numFmtId="0" fontId="9" fillId="0" borderId="0" xfId="0" applyFont="1" applyBorder="1" applyAlignment="1"/>
    <xf numFmtId="0" fontId="0" fillId="0" borderId="31" xfId="0" applyBorder="1" applyAlignment="1">
      <alignment horizontal="left" vertical="center" wrapText="1"/>
    </xf>
    <xf numFmtId="164" fontId="0" fillId="0" borderId="7" xfId="0" applyNumberFormat="1" applyFill="1" applyBorder="1"/>
    <xf numFmtId="164" fontId="0" fillId="0" borderId="37" xfId="0" applyNumberFormat="1" applyBorder="1"/>
    <xf numFmtId="164" fontId="0" fillId="0" borderId="38" xfId="0" applyNumberFormat="1" applyBorder="1"/>
    <xf numFmtId="1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quotePrefix="1" applyBorder="1"/>
    <xf numFmtId="2" fontId="0" fillId="0" borderId="0" xfId="0" applyNumberFormat="1" applyBorder="1"/>
    <xf numFmtId="0" fontId="0" fillId="6" borderId="3" xfId="0" applyFill="1" applyBorder="1"/>
    <xf numFmtId="0" fontId="0" fillId="6" borderId="3" xfId="0" applyFill="1" applyBorder="1" applyAlignment="1">
      <alignment wrapText="1"/>
    </xf>
    <xf numFmtId="0" fontId="0" fillId="6" borderId="3" xfId="0" quotePrefix="1" applyFill="1" applyBorder="1"/>
    <xf numFmtId="2" fontId="0" fillId="6" borderId="3" xfId="0" applyNumberFormat="1" applyFill="1" applyBorder="1"/>
    <xf numFmtId="1" fontId="0" fillId="6" borderId="3" xfId="0" applyNumberFormat="1" applyFill="1" applyBorder="1"/>
    <xf numFmtId="0" fontId="0" fillId="6" borderId="39" xfId="0" applyFill="1" applyBorder="1"/>
    <xf numFmtId="0" fontId="0" fillId="6" borderId="12" xfId="0" applyFill="1" applyBorder="1" applyAlignment="1">
      <alignment wrapText="1"/>
    </xf>
    <xf numFmtId="0" fontId="0" fillId="6" borderId="12" xfId="0" quotePrefix="1" applyFill="1" applyBorder="1"/>
    <xf numFmtId="0" fontId="0" fillId="6" borderId="12" xfId="0" applyFill="1" applyBorder="1"/>
    <xf numFmtId="1" fontId="0" fillId="6" borderId="12" xfId="0" applyNumberFormat="1" applyFill="1" applyBorder="1"/>
    <xf numFmtId="0" fontId="0" fillId="6" borderId="13" xfId="0" applyFill="1" applyBorder="1"/>
    <xf numFmtId="2" fontId="0" fillId="6" borderId="14" xfId="0" applyNumberFormat="1" applyFill="1" applyBorder="1"/>
    <xf numFmtId="1" fontId="0" fillId="6" borderId="15" xfId="0" applyNumberFormat="1" applyFill="1" applyBorder="1"/>
    <xf numFmtId="0" fontId="0" fillId="0" borderId="7" xfId="0" applyBorder="1"/>
    <xf numFmtId="0" fontId="0" fillId="0" borderId="8" xfId="0" applyBorder="1"/>
    <xf numFmtId="0" fontId="0" fillId="0" borderId="8" xfId="0" quotePrefix="1" applyBorder="1"/>
    <xf numFmtId="2" fontId="0" fillId="0" borderId="0" xfId="0" applyNumberFormat="1" applyAlignment="1">
      <alignment horizontal="right" vertical="center" wrapText="1"/>
    </xf>
    <xf numFmtId="2" fontId="9" fillId="0" borderId="0" xfId="0" applyNumberFormat="1" applyFont="1" applyAlignment="1">
      <alignment horizontal="right"/>
    </xf>
    <xf numFmtId="2" fontId="0" fillId="0" borderId="0" xfId="0" applyNumberFormat="1" applyAlignment="1">
      <alignment horizontal="right"/>
    </xf>
    <xf numFmtId="0" fontId="0" fillId="0" borderId="0" xfId="0" applyAlignment="1">
      <alignment horizontal="right" vertical="center" wrapText="1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center" vertical="center" wrapText="1"/>
    </xf>
    <xf numFmtId="4" fontId="0" fillId="0" borderId="0" xfId="0" applyNumberFormat="1" applyAlignment="1">
      <alignment horizontal="center"/>
    </xf>
    <xf numFmtId="164" fontId="0" fillId="0" borderId="27" xfId="0" applyNumberFormat="1" applyBorder="1" applyAlignment="1">
      <alignment horizontal="center"/>
    </xf>
    <xf numFmtId="164" fontId="0" fillId="0" borderId="28" xfId="0" applyNumberFormat="1" applyBorder="1" applyAlignment="1">
      <alignment horizontal="center"/>
    </xf>
    <xf numFmtId="164" fontId="0" fillId="0" borderId="24" xfId="0" applyNumberFormat="1" applyBorder="1" applyAlignment="1">
      <alignment horizontal="center"/>
    </xf>
    <xf numFmtId="167" fontId="0" fillId="0" borderId="0" xfId="0" applyNumberFormat="1" applyAlignment="1">
      <alignment horizontal="center" vertical="center" wrapText="1"/>
    </xf>
    <xf numFmtId="0" fontId="13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24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right"/>
    </xf>
    <xf numFmtId="0" fontId="0" fillId="0" borderId="29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20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9" fillId="0" borderId="0" xfId="0" applyFont="1" applyBorder="1" applyAlignment="1">
      <alignment horizontal="center"/>
    </xf>
    <xf numFmtId="0" fontId="9" fillId="0" borderId="0" xfId="0" applyFont="1" applyBorder="1" applyAlignment="1">
      <alignment horizontal="center" vertical="center" wrapText="1"/>
    </xf>
    <xf numFmtId="164" fontId="0" fillId="0" borderId="8" xfId="0" applyNumberFormat="1" applyFill="1" applyBorder="1"/>
    <xf numFmtId="164" fontId="0" fillId="7" borderId="8" xfId="0" applyNumberFormat="1" applyFill="1" applyBorder="1"/>
    <xf numFmtId="164" fontId="0" fillId="0" borderId="0" xfId="3" applyNumberFormat="1" applyFont="1" applyAlignment="1">
      <alignment shrinkToFit="1"/>
    </xf>
  </cellXfs>
  <cellStyles count="4">
    <cellStyle name="Гиперссылка" xfId="1" builtinId="8"/>
    <cellStyle name="Обычный" xfId="0" builtinId="0"/>
    <cellStyle name="Обычный 3" xfId="2" xr:uid="{4DABB42F-003A-9E40-8350-D5917202C7B2}"/>
    <cellStyle name="Финансовый" xfId="3" builtinId="3"/>
  </cellStyles>
  <dxfs count="6">
    <dxf>
      <numFmt numFmtId="1" formatCode="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pivotCacheDefinition" Target="pivotCache/pivotCacheDefinition1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Анализ доходов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'1.1 - 1.2 Вариант 8'!$B$1:$B$2</c:f>
              <c:strCache>
                <c:ptCount val="2"/>
                <c:pt idx="0">
                  <c:v>Доход в 2012 г. (отчет)</c:v>
                </c:pt>
                <c:pt idx="1">
                  <c:v>Сумма, тыс. руб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'1.1 - 1.2 Вариант 8'!$A$3:$A$13</c:f>
              <c:strCache>
                <c:ptCount val="11"/>
                <c:pt idx="0">
                  <c:v>Налоговые доходы</c:v>
                </c:pt>
                <c:pt idx="1">
                  <c:v>1. Налоги на прибыль (доход), прирост капитала</c:v>
                </c:pt>
                <c:pt idx="2">
                  <c:v>2. Налоги на товары и услуги, лицензионные сборы</c:v>
                </c:pt>
                <c:pt idx="3">
                  <c:v>3. Налоги на совокупный доход </c:v>
                </c:pt>
                <c:pt idx="4">
                  <c:v>4. Налоги на имущество</c:v>
                </c:pt>
                <c:pt idx="5">
                  <c:v>5. Платежи за пользование природными ресурсами</c:v>
                </c:pt>
                <c:pt idx="6">
                  <c:v>6. Прочие налоги, пошлины и сборы</c:v>
                </c:pt>
                <c:pt idx="7">
                  <c:v>Неналоговые доходы</c:v>
                </c:pt>
                <c:pt idx="8">
                  <c:v>1. Доходы от имущества, находящегося в госсобственности</c:v>
                </c:pt>
                <c:pt idx="9">
                  <c:v>2. Административные платежи и сборы</c:v>
                </c:pt>
                <c:pt idx="10">
                  <c:v>3. Штрафные санкции</c:v>
                </c:pt>
              </c:strCache>
            </c:strRef>
          </c:cat>
          <c:val>
            <c:numRef>
              <c:f>'1.1 - 1.2 Вариант 8'!$B$3:$B$13</c:f>
              <c:numCache>
                <c:formatCode>#,##0.00</c:formatCode>
                <c:ptCount val="11"/>
                <c:pt idx="0">
                  <c:v>1403660</c:v>
                </c:pt>
                <c:pt idx="1">
                  <c:v>347660</c:v>
                </c:pt>
                <c:pt idx="2">
                  <c:v>396110</c:v>
                </c:pt>
                <c:pt idx="3">
                  <c:v>53810</c:v>
                </c:pt>
                <c:pt idx="4">
                  <c:v>266900</c:v>
                </c:pt>
                <c:pt idx="5">
                  <c:v>102600</c:v>
                </c:pt>
                <c:pt idx="6">
                  <c:v>236580</c:v>
                </c:pt>
                <c:pt idx="7">
                  <c:v>23690</c:v>
                </c:pt>
                <c:pt idx="8">
                  <c:v>10690</c:v>
                </c:pt>
                <c:pt idx="9">
                  <c:v>9500</c:v>
                </c:pt>
                <c:pt idx="10">
                  <c:v>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F7-F940-A1EC-CC3309C67675}"/>
            </c:ext>
          </c:extLst>
        </c:ser>
        <c:ser>
          <c:idx val="2"/>
          <c:order val="1"/>
          <c:tx>
            <c:strRef>
              <c:f>'1.1 - 1.2 Вариант 8'!$D$1:$D$2</c:f>
              <c:strCache>
                <c:ptCount val="2"/>
                <c:pt idx="0">
                  <c:v>Доход в 2013 г. (план)</c:v>
                </c:pt>
                <c:pt idx="1">
                  <c:v>Сумма, тыс. руб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'1.1 - 1.2 Вариант 8'!$A$3:$A$13</c:f>
              <c:strCache>
                <c:ptCount val="11"/>
                <c:pt idx="0">
                  <c:v>Налоговые доходы</c:v>
                </c:pt>
                <c:pt idx="1">
                  <c:v>1. Налоги на прибыль (доход), прирост капитала</c:v>
                </c:pt>
                <c:pt idx="2">
                  <c:v>2. Налоги на товары и услуги, лицензионные сборы</c:v>
                </c:pt>
                <c:pt idx="3">
                  <c:v>3. Налоги на совокупный доход </c:v>
                </c:pt>
                <c:pt idx="4">
                  <c:v>4. Налоги на имущество</c:v>
                </c:pt>
                <c:pt idx="5">
                  <c:v>5. Платежи за пользование природными ресурсами</c:v>
                </c:pt>
                <c:pt idx="6">
                  <c:v>6. Прочие налоги, пошлины и сборы</c:v>
                </c:pt>
                <c:pt idx="7">
                  <c:v>Неналоговые доходы</c:v>
                </c:pt>
                <c:pt idx="8">
                  <c:v>1. Доходы от имущества, находящегося в госсобственности</c:v>
                </c:pt>
                <c:pt idx="9">
                  <c:v>2. Административные платежи и сборы</c:v>
                </c:pt>
                <c:pt idx="10">
                  <c:v>3. Штрафные санкции</c:v>
                </c:pt>
              </c:strCache>
            </c:strRef>
          </c:cat>
          <c:val>
            <c:numRef>
              <c:f>'1.1 - 1.2 Вариант 8'!$D$3:$D$13</c:f>
              <c:numCache>
                <c:formatCode>#,##0.00</c:formatCode>
                <c:ptCount val="11"/>
                <c:pt idx="0">
                  <c:v>1609074</c:v>
                </c:pt>
                <c:pt idx="1">
                  <c:v>666562</c:v>
                </c:pt>
                <c:pt idx="2">
                  <c:v>142887</c:v>
                </c:pt>
                <c:pt idx="3">
                  <c:v>35696</c:v>
                </c:pt>
                <c:pt idx="4">
                  <c:v>107253</c:v>
                </c:pt>
                <c:pt idx="5">
                  <c:v>382380</c:v>
                </c:pt>
                <c:pt idx="6">
                  <c:v>274296</c:v>
                </c:pt>
                <c:pt idx="7">
                  <c:v>45466</c:v>
                </c:pt>
                <c:pt idx="8">
                  <c:v>37366</c:v>
                </c:pt>
                <c:pt idx="9">
                  <c:v>4500</c:v>
                </c:pt>
                <c:pt idx="10">
                  <c:v>3600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CF7-F940-A1EC-CC3309C67675}"/>
            </c:ext>
          </c:extLst>
        </c:ser>
        <c:ser>
          <c:idx val="4"/>
          <c:order val="2"/>
          <c:tx>
            <c:strRef>
              <c:f>'1.1 - 1.2 Вариант 8'!$F$1:$F$2</c:f>
              <c:strCache>
                <c:ptCount val="2"/>
                <c:pt idx="0">
                  <c:v>Превышение доходов</c:v>
                </c:pt>
                <c:pt idx="1">
                  <c:v>Сумма, тыс. руб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'1.1 - 1.2 Вариант 8'!$A$3:$A$13</c:f>
              <c:strCache>
                <c:ptCount val="11"/>
                <c:pt idx="0">
                  <c:v>Налоговые доходы</c:v>
                </c:pt>
                <c:pt idx="1">
                  <c:v>1. Налоги на прибыль (доход), прирост капитала</c:v>
                </c:pt>
                <c:pt idx="2">
                  <c:v>2. Налоги на товары и услуги, лицензионные сборы</c:v>
                </c:pt>
                <c:pt idx="3">
                  <c:v>3. Налоги на совокупный доход </c:v>
                </c:pt>
                <c:pt idx="4">
                  <c:v>4. Налоги на имущество</c:v>
                </c:pt>
                <c:pt idx="5">
                  <c:v>5. Платежи за пользование природными ресурсами</c:v>
                </c:pt>
                <c:pt idx="6">
                  <c:v>6. Прочие налоги, пошлины и сборы</c:v>
                </c:pt>
                <c:pt idx="7">
                  <c:v>Неналоговые доходы</c:v>
                </c:pt>
                <c:pt idx="8">
                  <c:v>1. Доходы от имущества, находящегося в госсобственности</c:v>
                </c:pt>
                <c:pt idx="9">
                  <c:v>2. Административные платежи и сборы</c:v>
                </c:pt>
                <c:pt idx="10">
                  <c:v>3. Штрафные санкции</c:v>
                </c:pt>
              </c:strCache>
            </c:strRef>
          </c:cat>
          <c:val>
            <c:numRef>
              <c:f>'1.1 - 1.2 Вариант 8'!$F$3:$F$13</c:f>
              <c:numCache>
                <c:formatCode>#,##0.00</c:formatCode>
                <c:ptCount val="11"/>
                <c:pt idx="0">
                  <c:v>205414</c:v>
                </c:pt>
                <c:pt idx="1">
                  <c:v>318902</c:v>
                </c:pt>
                <c:pt idx="2">
                  <c:v>-253223</c:v>
                </c:pt>
                <c:pt idx="3">
                  <c:v>-18114</c:v>
                </c:pt>
                <c:pt idx="4">
                  <c:v>-159647</c:v>
                </c:pt>
                <c:pt idx="5">
                  <c:v>279780</c:v>
                </c:pt>
                <c:pt idx="6">
                  <c:v>37716</c:v>
                </c:pt>
                <c:pt idx="7">
                  <c:v>21776</c:v>
                </c:pt>
                <c:pt idx="8">
                  <c:v>26676</c:v>
                </c:pt>
                <c:pt idx="9">
                  <c:v>-5000</c:v>
                </c:pt>
                <c:pt idx="10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CF7-F940-A1EC-CC3309C676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7677440"/>
        <c:axId val="547679440"/>
      </c:lineChart>
      <c:catAx>
        <c:axId val="547677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47679440"/>
        <c:crossesAt val="0"/>
        <c:auto val="1"/>
        <c:lblAlgn val="ctr"/>
        <c:lblOffset val="100"/>
        <c:noMultiLvlLbl val="0"/>
      </c:catAx>
      <c:valAx>
        <c:axId val="547679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тыс. руб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47677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График</a:t>
            </a:r>
            <a:r>
              <a:rPr lang="ru-RU" baseline="0"/>
              <a:t> для уравнения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Шаг 0,5</c:v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'1.3 Построение графиков Вар 11'!$A$3:$A$11</c:f>
              <c:numCache>
                <c:formatCode>#,##0.00</c:formatCode>
                <c:ptCount val="9"/>
                <c:pt idx="0">
                  <c:v>-2</c:v>
                </c:pt>
                <c:pt idx="1">
                  <c:v>-1.5</c:v>
                </c:pt>
                <c:pt idx="2">
                  <c:v>-1</c:v>
                </c:pt>
                <c:pt idx="3">
                  <c:v>-0.5</c:v>
                </c:pt>
                <c:pt idx="4">
                  <c:v>0</c:v>
                </c:pt>
                <c:pt idx="5">
                  <c:v>0.5</c:v>
                </c:pt>
                <c:pt idx="6">
                  <c:v>1</c:v>
                </c:pt>
                <c:pt idx="7">
                  <c:v>1.5</c:v>
                </c:pt>
                <c:pt idx="8">
                  <c:v>2</c:v>
                </c:pt>
              </c:numCache>
            </c:numRef>
          </c:xVal>
          <c:yVal>
            <c:numRef>
              <c:f>'1.3 Построение графиков Вар 11'!$B$3:$B$11</c:f>
              <c:numCache>
                <c:formatCode>#,##0.00</c:formatCode>
                <c:ptCount val="9"/>
                <c:pt idx="0">
                  <c:v>3</c:v>
                </c:pt>
                <c:pt idx="1">
                  <c:v>4.2857142857142865</c:v>
                </c:pt>
                <c:pt idx="2">
                  <c:v>6</c:v>
                </c:pt>
                <c:pt idx="3">
                  <c:v>0.16252767840822888</c:v>
                </c:pt>
                <c:pt idx="4">
                  <c:v>0</c:v>
                </c:pt>
                <c:pt idx="5">
                  <c:v>0.28150619663926757</c:v>
                </c:pt>
                <c:pt idx="6">
                  <c:v>1.0013670312783618</c:v>
                </c:pt>
                <c:pt idx="7">
                  <c:v>1.5732272039755721</c:v>
                </c:pt>
                <c:pt idx="8">
                  <c:v>1.4320973844739706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1CE-634D-ADF7-7244C978DD34}"/>
            </c:ext>
          </c:extLst>
        </c:ser>
        <c:ser>
          <c:idx val="1"/>
          <c:order val="1"/>
          <c:tx>
            <c:v>Шаг 0,2</c:v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'1.3 Построение графиков Вар 11'!$A$13:$A$33</c:f>
              <c:numCache>
                <c:formatCode>#,##0.00</c:formatCode>
                <c:ptCount val="21"/>
                <c:pt idx="0">
                  <c:v>-2</c:v>
                </c:pt>
                <c:pt idx="1">
                  <c:v>-1.8</c:v>
                </c:pt>
                <c:pt idx="2">
                  <c:v>-1.6</c:v>
                </c:pt>
                <c:pt idx="3">
                  <c:v>-1.4000000000000001</c:v>
                </c:pt>
                <c:pt idx="4">
                  <c:v>-1.2000000000000002</c:v>
                </c:pt>
                <c:pt idx="5">
                  <c:v>-1.0000000000000002</c:v>
                </c:pt>
                <c:pt idx="6">
                  <c:v>-0.80000000000000027</c:v>
                </c:pt>
                <c:pt idx="7">
                  <c:v>-0.60000000000000031</c:v>
                </c:pt>
                <c:pt idx="8">
                  <c:v>-0.4000000000000003</c:v>
                </c:pt>
                <c:pt idx="9">
                  <c:v>-0.20000000000000029</c:v>
                </c:pt>
                <c:pt idx="10">
                  <c:v>-2.7755575615628914E-16</c:v>
                </c:pt>
                <c:pt idx="11">
                  <c:v>0.19999999999999973</c:v>
                </c:pt>
                <c:pt idx="12">
                  <c:v>0.39999999999999974</c:v>
                </c:pt>
                <c:pt idx="13">
                  <c:v>0.59999999999999976</c:v>
                </c:pt>
                <c:pt idx="14">
                  <c:v>0.79999999999999982</c:v>
                </c:pt>
                <c:pt idx="15">
                  <c:v>0.99999999999999978</c:v>
                </c:pt>
                <c:pt idx="16">
                  <c:v>1.1999999999999997</c:v>
                </c:pt>
                <c:pt idx="17">
                  <c:v>1.3999999999999997</c:v>
                </c:pt>
                <c:pt idx="18">
                  <c:v>1.5999999999999996</c:v>
                </c:pt>
                <c:pt idx="19">
                  <c:v>1.7999999999999996</c:v>
                </c:pt>
                <c:pt idx="20">
                  <c:v>1.9999999999999996</c:v>
                </c:pt>
              </c:numCache>
            </c:numRef>
          </c:xVal>
          <c:yVal>
            <c:numRef>
              <c:f>'1.3 Построение графиков Вар 11'!$B$13:$B$33</c:f>
              <c:numCache>
                <c:formatCode>#,##0.00</c:formatCode>
                <c:ptCount val="21"/>
                <c:pt idx="0">
                  <c:v>3</c:v>
                </c:pt>
                <c:pt idx="1">
                  <c:v>3.4426229508196715</c:v>
                </c:pt>
                <c:pt idx="2">
                  <c:v>3.9795918367346932</c:v>
                </c:pt>
                <c:pt idx="3">
                  <c:v>4.615384615384615</c:v>
                </c:pt>
                <c:pt idx="4">
                  <c:v>5.32258064516129</c:v>
                </c:pt>
                <c:pt idx="5">
                  <c:v>5.9999999999999991</c:v>
                </c:pt>
                <c:pt idx="6">
                  <c:v>0.23013600942759921</c:v>
                </c:pt>
                <c:pt idx="7">
                  <c:v>0.20164018281980173</c:v>
                </c:pt>
                <c:pt idx="8">
                  <c:v>0.11746498637148756</c:v>
                </c:pt>
                <c:pt idx="9">
                  <c:v>3.530259669716259E-2</c:v>
                </c:pt>
                <c:pt idx="10">
                  <c:v>0</c:v>
                </c:pt>
                <c:pt idx="11">
                  <c:v>4.323667425165529E-2</c:v>
                </c:pt>
                <c:pt idx="12">
                  <c:v>0.17943073051809885</c:v>
                </c:pt>
                <c:pt idx="13">
                  <c:v>0.40328036563960279</c:v>
                </c:pt>
                <c:pt idx="14">
                  <c:v>0.69040802828279757</c:v>
                </c:pt>
                <c:pt idx="15">
                  <c:v>1.0013670312783614</c:v>
                </c:pt>
                <c:pt idx="16">
                  <c:v>1.2884856644686495</c:v>
                </c:pt>
                <c:pt idx="17">
                  <c:v>1.5044389560083398</c:v>
                </c:pt>
                <c:pt idx="18">
                  <c:v>1.611076753953576</c:v>
                </c:pt>
                <c:pt idx="19">
                  <c:v>1.5869419469388588</c:v>
                </c:pt>
                <c:pt idx="20">
                  <c:v>1.4320973844739713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B26-D24D-89B2-863E008F1378}"/>
            </c:ext>
          </c:extLst>
        </c:ser>
        <c:ser>
          <c:idx val="2"/>
          <c:order val="2"/>
          <c:tx>
            <c:v>Шаг 0,1</c:v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3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'1.3 Построение графиков Вар 11'!$A$35:$A$75</c:f>
              <c:numCache>
                <c:formatCode>#,##0.00</c:formatCode>
                <c:ptCount val="41"/>
                <c:pt idx="0">
                  <c:v>-2</c:v>
                </c:pt>
                <c:pt idx="1">
                  <c:v>-1.9</c:v>
                </c:pt>
                <c:pt idx="2">
                  <c:v>-1.7999999999999998</c:v>
                </c:pt>
                <c:pt idx="3">
                  <c:v>-1.6999999999999997</c:v>
                </c:pt>
                <c:pt idx="4">
                  <c:v>-1.5999999999999996</c:v>
                </c:pt>
                <c:pt idx="5">
                  <c:v>-1.4999999999999996</c:v>
                </c:pt>
                <c:pt idx="6">
                  <c:v>-1.3999999999999995</c:v>
                </c:pt>
                <c:pt idx="7">
                  <c:v>-1.2999999999999994</c:v>
                </c:pt>
                <c:pt idx="8">
                  <c:v>-1.1999999999999993</c:v>
                </c:pt>
                <c:pt idx="9">
                  <c:v>-1.0999999999999992</c:v>
                </c:pt>
                <c:pt idx="10">
                  <c:v>-0.99999999999999922</c:v>
                </c:pt>
                <c:pt idx="11">
                  <c:v>-0.89999999999999925</c:v>
                </c:pt>
                <c:pt idx="12">
                  <c:v>-0.79999999999999927</c:v>
                </c:pt>
                <c:pt idx="13">
                  <c:v>-0.69999999999999929</c:v>
                </c:pt>
                <c:pt idx="14">
                  <c:v>-0.59999999999999931</c:v>
                </c:pt>
                <c:pt idx="15">
                  <c:v>-0.49999999999999933</c:v>
                </c:pt>
                <c:pt idx="16">
                  <c:v>-0.39999999999999936</c:v>
                </c:pt>
                <c:pt idx="17">
                  <c:v>-0.29999999999999938</c:v>
                </c:pt>
                <c:pt idx="18">
                  <c:v>-0.19999999999999937</c:v>
                </c:pt>
                <c:pt idx="19">
                  <c:v>-9.9999999999999367E-2</c:v>
                </c:pt>
                <c:pt idx="20">
                  <c:v>6.3837823915946501E-16</c:v>
                </c:pt>
                <c:pt idx="21">
                  <c:v>0.10000000000000064</c:v>
                </c:pt>
                <c:pt idx="22">
                  <c:v>0.20000000000000065</c:v>
                </c:pt>
                <c:pt idx="23">
                  <c:v>0.30000000000000066</c:v>
                </c:pt>
                <c:pt idx="24">
                  <c:v>0.40000000000000069</c:v>
                </c:pt>
                <c:pt idx="25">
                  <c:v>0.50000000000000067</c:v>
                </c:pt>
                <c:pt idx="26">
                  <c:v>0.60000000000000064</c:v>
                </c:pt>
                <c:pt idx="27">
                  <c:v>0.70000000000000062</c:v>
                </c:pt>
                <c:pt idx="28">
                  <c:v>0.8000000000000006</c:v>
                </c:pt>
                <c:pt idx="29">
                  <c:v>0.90000000000000058</c:v>
                </c:pt>
                <c:pt idx="30">
                  <c:v>1.0000000000000007</c:v>
                </c:pt>
                <c:pt idx="31">
                  <c:v>1.1000000000000008</c:v>
                </c:pt>
                <c:pt idx="32">
                  <c:v>1.2000000000000008</c:v>
                </c:pt>
                <c:pt idx="33">
                  <c:v>1.3000000000000009</c:v>
                </c:pt>
                <c:pt idx="34">
                  <c:v>1.400000000000001</c:v>
                </c:pt>
                <c:pt idx="35">
                  <c:v>1.5000000000000011</c:v>
                </c:pt>
                <c:pt idx="36">
                  <c:v>1.6000000000000012</c:v>
                </c:pt>
                <c:pt idx="37">
                  <c:v>1.7000000000000013</c:v>
                </c:pt>
                <c:pt idx="38">
                  <c:v>1.8000000000000014</c:v>
                </c:pt>
                <c:pt idx="39">
                  <c:v>1.9000000000000015</c:v>
                </c:pt>
                <c:pt idx="40">
                  <c:v>2.0000000000000013</c:v>
                </c:pt>
              </c:numCache>
            </c:numRef>
          </c:xVal>
          <c:yVal>
            <c:numRef>
              <c:f>'1.3 Построение графиков Вар 11'!$B$35:$B$75</c:f>
              <c:numCache>
                <c:formatCode>#,##0.00</c:formatCode>
                <c:ptCount val="41"/>
                <c:pt idx="0">
                  <c:v>3</c:v>
                </c:pt>
                <c:pt idx="1">
                  <c:v>3.2103321033210332</c:v>
                </c:pt>
                <c:pt idx="2">
                  <c:v>3.4426229508196728</c:v>
                </c:pt>
                <c:pt idx="3">
                  <c:v>3.6986301369863024</c:v>
                </c:pt>
                <c:pt idx="4">
                  <c:v>3.979591836734695</c:v>
                </c:pt>
                <c:pt idx="5">
                  <c:v>4.2857142857142874</c:v>
                </c:pt>
                <c:pt idx="6">
                  <c:v>4.6153846153846176</c:v>
                </c:pt>
                <c:pt idx="7">
                  <c:v>4.9640287769784202</c:v>
                </c:pt>
                <c:pt idx="8">
                  <c:v>5.3225806451612927</c:v>
                </c:pt>
                <c:pt idx="9">
                  <c:v>5.675675675675679</c:v>
                </c:pt>
                <c:pt idx="10">
                  <c:v>1.9739330827158538E-8</c:v>
                </c:pt>
                <c:pt idx="11">
                  <c:v>0.19403768842798993</c:v>
                </c:pt>
                <c:pt idx="12">
                  <c:v>0.23013600942759935</c:v>
                </c:pt>
                <c:pt idx="13">
                  <c:v>0.22731385965199993</c:v>
                </c:pt>
                <c:pt idx="14">
                  <c:v>0.20164018281980137</c:v>
                </c:pt>
                <c:pt idx="15">
                  <c:v>0.1625276784082286</c:v>
                </c:pt>
                <c:pt idx="16">
                  <c:v>0.11746498637148707</c:v>
                </c:pt>
                <c:pt idx="17">
                  <c:v>7.3067354532113007E-2</c:v>
                </c:pt>
                <c:pt idx="18">
                  <c:v>3.5302596697162313E-2</c:v>
                </c:pt>
                <c:pt idx="19">
                  <c:v>9.4552523375019404E-3</c:v>
                </c:pt>
                <c:pt idx="20">
                  <c:v>0</c:v>
                </c:pt>
                <c:pt idx="21">
                  <c:v>1.0453174767208492E-2</c:v>
                </c:pt>
                <c:pt idx="22">
                  <c:v>4.3236674251655734E-2</c:v>
                </c:pt>
                <c:pt idx="23">
                  <c:v>9.9574019760018992E-2</c:v>
                </c:pt>
                <c:pt idx="24">
                  <c:v>0.17943073051809971</c:v>
                </c:pt>
                <c:pt idx="25">
                  <c:v>0.2815061966392684</c:v>
                </c:pt>
                <c:pt idx="26">
                  <c:v>0.40328036563960401</c:v>
                </c:pt>
                <c:pt idx="27">
                  <c:v>0.5411152198401985</c:v>
                </c:pt>
                <c:pt idx="28">
                  <c:v>0.69040802828279868</c:v>
                </c:pt>
                <c:pt idx="29">
                  <c:v>0.8457906750958385</c:v>
                </c:pt>
                <c:pt idx="30">
                  <c:v>1.0013670312783627</c:v>
                </c:pt>
                <c:pt idx="31">
                  <c:v>1.150978407594504</c:v>
                </c:pt>
                <c:pt idx="32">
                  <c:v>1.2884856644686509</c:v>
                </c:pt>
                <c:pt idx="33">
                  <c:v>1.4080556130256896</c:v>
                </c:pt>
                <c:pt idx="34">
                  <c:v>1.5044389560083411</c:v>
                </c:pt>
                <c:pt idx="35">
                  <c:v>1.5732272039755726</c:v>
                </c:pt>
                <c:pt idx="36">
                  <c:v>1.6110767539535762</c:v>
                </c:pt>
                <c:pt idx="37">
                  <c:v>1.6158896042042405</c:v>
                </c:pt>
                <c:pt idx="38">
                  <c:v>1.5869419469388579</c:v>
                </c:pt>
                <c:pt idx="39">
                  <c:v>1.5249540567544873</c:v>
                </c:pt>
                <c:pt idx="40">
                  <c:v>1.4320973844739691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B26-D24D-89B2-863E008F13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5551071"/>
        <c:axId val="707454159"/>
      </c:scatterChart>
      <c:valAx>
        <c:axId val="1425551071"/>
        <c:scaling>
          <c:orientation val="minMax"/>
        </c:scaling>
        <c:delete val="0"/>
        <c:axPos val="b"/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07454159"/>
        <c:crosses val="autoZero"/>
        <c:crossBetween val="midCat"/>
      </c:valAx>
      <c:valAx>
        <c:axId val="707454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255510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'2.1 Корни полинома Вар 11'!$A$5:$A$514</c:f>
              <c:numCache>
                <c:formatCode>0.00000</c:formatCode>
                <c:ptCount val="510"/>
                <c:pt idx="0">
                  <c:v>-2.6</c:v>
                </c:pt>
                <c:pt idx="1">
                  <c:v>-2.3955555555555557</c:v>
                </c:pt>
                <c:pt idx="2">
                  <c:v>-2.1911111111111112</c:v>
                </c:pt>
                <c:pt idx="3">
                  <c:v>-1.9866666666666668</c:v>
                </c:pt>
                <c:pt idx="4">
                  <c:v>-1.7822222222222224</c:v>
                </c:pt>
                <c:pt idx="5">
                  <c:v>-1.5777777777777779</c:v>
                </c:pt>
                <c:pt idx="6">
                  <c:v>-1.3733333333333335</c:v>
                </c:pt>
                <c:pt idx="7">
                  <c:v>-1.1688888888888891</c:v>
                </c:pt>
                <c:pt idx="8">
                  <c:v>8</c:v>
                </c:pt>
                <c:pt idx="9">
                  <c:v>8.2044444444444444</c:v>
                </c:pt>
                <c:pt idx="10">
                  <c:v>8.4088888888888889</c:v>
                </c:pt>
                <c:pt idx="11">
                  <c:v>8.6133333333333333</c:v>
                </c:pt>
                <c:pt idx="12">
                  <c:v>8.8177777777777777</c:v>
                </c:pt>
                <c:pt idx="13">
                  <c:v>9.0222222222222221</c:v>
                </c:pt>
                <c:pt idx="14">
                  <c:v>9.2266666666666666</c:v>
                </c:pt>
                <c:pt idx="15">
                  <c:v>9.431111111111111</c:v>
                </c:pt>
                <c:pt idx="16">
                  <c:v>0.68873637007368049</c:v>
                </c:pt>
                <c:pt idx="17">
                  <c:v>0.89318081451812492</c:v>
                </c:pt>
                <c:pt idx="18">
                  <c:v>1.0976252589625695</c:v>
                </c:pt>
                <c:pt idx="19">
                  <c:v>1.3020697034070139</c:v>
                </c:pt>
                <c:pt idx="20">
                  <c:v>1.5065141478514583</c:v>
                </c:pt>
                <c:pt idx="21">
                  <c:v>1.7109585922959027</c:v>
                </c:pt>
                <c:pt idx="22">
                  <c:v>1.9154030367403472</c:v>
                </c:pt>
                <c:pt idx="23">
                  <c:v>2.1198474811847916</c:v>
                </c:pt>
                <c:pt idx="24">
                  <c:v>2.324291925629236</c:v>
                </c:pt>
                <c:pt idx="25">
                  <c:v>2.5287363700736805</c:v>
                </c:pt>
              </c:numCache>
            </c:numRef>
          </c:xVal>
          <c:yVal>
            <c:numRef>
              <c:f>'2.1 Корни полинома Вар 11'!$B$5:$B$514</c:f>
              <c:numCache>
                <c:formatCode>0.00000</c:formatCode>
                <c:ptCount val="510"/>
                <c:pt idx="0">
                  <c:v>42.049600000000005</c:v>
                </c:pt>
                <c:pt idx="1">
                  <c:v>32.59998677899101</c:v>
                </c:pt>
                <c:pt idx="2">
                  <c:v>24.898673661112639</c:v>
                </c:pt>
                <c:pt idx="3">
                  <c:v>18.629143735308645</c:v>
                </c:pt>
                <c:pt idx="4">
                  <c:v>13.516808896595034</c:v>
                </c:pt>
                <c:pt idx="5">
                  <c:v>9.3290098460600568</c:v>
                </c:pt>
                <c:pt idx="6">
                  <c:v>5.8750160908641984</c:v>
                </c:pt>
                <c:pt idx="7">
                  <c:v>3.0060259442402106</c:v>
                </c:pt>
                <c:pt idx="8">
                  <c:v>6139</c:v>
                </c:pt>
                <c:pt idx="9">
                  <c:v>6721.3259970198696</c:v>
                </c:pt>
                <c:pt idx="10">
                  <c:v>7344.2590684770248</c:v>
                </c:pt>
                <c:pt idx="11">
                  <c:v>8009.6566149056789</c:v>
                </c:pt>
                <c:pt idx="12">
                  <c:v>8719.4179656461147</c:v>
                </c:pt>
                <c:pt idx="13">
                  <c:v>9475.4843788446888</c:v>
                </c:pt>
                <c:pt idx="14">
                  <c:v>10279.839041453826</c:v>
                </c:pt>
                <c:pt idx="15">
                  <c:v>11134.507069232033</c:v>
                </c:pt>
                <c:pt idx="16">
                  <c:v>-7.8169035688802069E-9</c:v>
                </c:pt>
                <c:pt idx="17">
                  <c:v>4.156279698380974</c:v>
                </c:pt>
                <c:pt idx="18">
                  <c:v>10.056942294668637</c:v>
                </c:pt>
                <c:pt idx="19">
                  <c:v>18.059946470724633</c:v>
                </c:pt>
                <c:pt idx="20">
                  <c:v>28.56517972229976</c:v>
                </c:pt>
                <c:pt idx="21">
                  <c:v>42.01445835121708</c:v>
                </c:pt>
                <c:pt idx="22">
                  <c:v>58.891527465371851</c:v>
                </c:pt>
                <c:pt idx="23">
                  <c:v>79.722060978731662</c:v>
                </c:pt>
                <c:pt idx="24">
                  <c:v>105.07366161133623</c:v>
                </c:pt>
                <c:pt idx="25">
                  <c:v>135.55586088929766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924-C548-B818-9784C780C0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1656272"/>
        <c:axId val="1891658000"/>
      </c:scatterChart>
      <c:valAx>
        <c:axId val="1891656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91658000"/>
        <c:crosses val="autoZero"/>
        <c:crossBetween val="midCat"/>
      </c:valAx>
      <c:valAx>
        <c:axId val="1891658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916562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Процесс сходимости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'2.2 Метод итерации Вар 11'!$A$2:$A$15</c:f>
              <c:numCache>
                <c:formatCode>General</c:formatCode>
                <c:ptCount val="1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</c:numCache>
            </c:numRef>
          </c:xVal>
          <c:yVal>
            <c:numRef>
              <c:f>'2.2 Метод итерации Вар 11'!$B$2:$B$15</c:f>
              <c:numCache>
                <c:formatCode>0.0000</c:formatCode>
                <c:ptCount val="14"/>
                <c:pt idx="0">
                  <c:v>0.25</c:v>
                </c:pt>
                <c:pt idx="1">
                  <c:v>0.49740395925452296</c:v>
                </c:pt>
                <c:pt idx="2">
                  <c:v>0.72714568554908554</c:v>
                </c:pt>
                <c:pt idx="3">
                  <c:v>0.91473995929811147</c:v>
                </c:pt>
                <c:pt idx="4">
                  <c:v>1.0424039897103978</c:v>
                </c:pt>
                <c:pt idx="5">
                  <c:v>1.1136186823731418</c:v>
                </c:pt>
                <c:pt idx="6">
                  <c:v>1.1473019064419039</c:v>
                </c:pt>
                <c:pt idx="7">
                  <c:v>1.1616584819390638</c:v>
                </c:pt>
                <c:pt idx="8">
                  <c:v>1.1674641450034624</c:v>
                </c:pt>
                <c:pt idx="9">
                  <c:v>1.169758270228785</c:v>
                </c:pt>
                <c:pt idx="10">
                  <c:v>1.1706562595584273</c:v>
                </c:pt>
                <c:pt idx="11">
                  <c:v>1.171006440216956</c:v>
                </c:pt>
                <c:pt idx="12">
                  <c:v>1.1711427956914591</c:v>
                </c:pt>
                <c:pt idx="13">
                  <c:v>1.1711958600611456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D9-CB4C-9FFF-CAED0B8092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8946896"/>
        <c:axId val="838903472"/>
      </c:scatterChart>
      <c:valAx>
        <c:axId val="838946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38903472"/>
        <c:crosses val="autoZero"/>
        <c:crossBetween val="midCat"/>
      </c:valAx>
      <c:valAx>
        <c:axId val="838903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389468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График</a:t>
            </a:r>
            <a:r>
              <a:rPr lang="ru-RU" baseline="0"/>
              <a:t> целевой функции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tx>
            <c:strRef>
              <c:f>'2.6 Метод целевой фн Вар11 1'!$B$16</c:f>
              <c:strCache>
                <c:ptCount val="1"/>
                <c:pt idx="0">
                  <c:v>0,00000</c:v>
                </c:pt>
              </c:strCache>
            </c:strRef>
          </c:tx>
          <c:spPr>
            <a:solidFill>
              <a:schemeClr val="accent1"/>
            </a:solidFill>
            <a:ln/>
            <a:effectLst/>
            <a:sp3d/>
          </c:spPr>
          <c:cat>
            <c:numRef>
              <c:f>'2.6 Метод целевой фн Вар11 1'!$A$17:$A$44</c:f>
              <c:numCache>
                <c:formatCode>General</c:formatCode>
                <c:ptCount val="28"/>
                <c:pt idx="0">
                  <c:v>6.7776395278265039E-2</c:v>
                </c:pt>
                <c:pt idx="1">
                  <c:v>6.877639527826504E-2</c:v>
                </c:pt>
                <c:pt idx="2">
                  <c:v>6.9776395278265041E-2</c:v>
                </c:pt>
                <c:pt idx="3">
                  <c:v>7.0776395278265042E-2</c:v>
                </c:pt>
                <c:pt idx="4">
                  <c:v>7.1776395278265043E-2</c:v>
                </c:pt>
                <c:pt idx="5">
                  <c:v>7.2776395278265044E-2</c:v>
                </c:pt>
                <c:pt idx="6">
                  <c:v>1.06777639527827</c:v>
                </c:pt>
                <c:pt idx="7">
                  <c:v>1.0687763952782698</c:v>
                </c:pt>
                <c:pt idx="8">
                  <c:v>1.0697763952782697</c:v>
                </c:pt>
                <c:pt idx="9">
                  <c:v>1.0707763952782696</c:v>
                </c:pt>
                <c:pt idx="10">
                  <c:v>1.0717763952782695</c:v>
                </c:pt>
                <c:pt idx="11">
                  <c:v>1.0727763952782694</c:v>
                </c:pt>
                <c:pt idx="12">
                  <c:v>2.06777639527827</c:v>
                </c:pt>
                <c:pt idx="13">
                  <c:v>2.0687763952782698</c:v>
                </c:pt>
                <c:pt idx="14">
                  <c:v>2.0697763952782697</c:v>
                </c:pt>
                <c:pt idx="15">
                  <c:v>2.0707763952782696</c:v>
                </c:pt>
                <c:pt idx="16">
                  <c:v>2.0717763952782695</c:v>
                </c:pt>
                <c:pt idx="17">
                  <c:v>2.0727763952782694</c:v>
                </c:pt>
                <c:pt idx="18">
                  <c:v>3.06777639527827</c:v>
                </c:pt>
                <c:pt idx="19">
                  <c:v>3.0687763952782698</c:v>
                </c:pt>
                <c:pt idx="20">
                  <c:v>3.0697763952782697</c:v>
                </c:pt>
                <c:pt idx="21">
                  <c:v>3.0707763952782696</c:v>
                </c:pt>
                <c:pt idx="22">
                  <c:v>3.0717763952782695</c:v>
                </c:pt>
                <c:pt idx="23">
                  <c:v>3.0727763952782694</c:v>
                </c:pt>
                <c:pt idx="24">
                  <c:v>4.0677763952782602</c:v>
                </c:pt>
                <c:pt idx="25">
                  <c:v>4.0687763952782605</c:v>
                </c:pt>
                <c:pt idx="26">
                  <c:v>4.0697763952782608</c:v>
                </c:pt>
                <c:pt idx="27">
                  <c:v>4.0707763952782612</c:v>
                </c:pt>
              </c:numCache>
            </c:numRef>
          </c:cat>
          <c:val>
            <c:numRef>
              <c:f>'2.6 Метод целевой фн Вар11 1'!$B$17:$B$44</c:f>
              <c:numCache>
                <c:formatCode>0.00</c:formatCode>
                <c:ptCount val="28"/>
                <c:pt idx="0">
                  <c:v>0.10033467208545055</c:v>
                </c:pt>
                <c:pt idx="1">
                  <c:v>0.10033467208545055</c:v>
                </c:pt>
                <c:pt idx="2">
                  <c:v>0.10033467208545055</c:v>
                </c:pt>
                <c:pt idx="3">
                  <c:v>0.10033467208545055</c:v>
                </c:pt>
                <c:pt idx="4">
                  <c:v>0.10033467208545055</c:v>
                </c:pt>
                <c:pt idx="5">
                  <c:v>0.10033467208545055</c:v>
                </c:pt>
                <c:pt idx="6">
                  <c:v>0.10033467208545055</c:v>
                </c:pt>
                <c:pt idx="7">
                  <c:v>0.10033467208545055</c:v>
                </c:pt>
                <c:pt idx="8">
                  <c:v>0.10033467208545055</c:v>
                </c:pt>
                <c:pt idx="9">
                  <c:v>0.10033467208545055</c:v>
                </c:pt>
                <c:pt idx="10">
                  <c:v>0.10033467208545055</c:v>
                </c:pt>
                <c:pt idx="11">
                  <c:v>0.10033467208545055</c:v>
                </c:pt>
                <c:pt idx="12">
                  <c:v>0.10033467208545055</c:v>
                </c:pt>
                <c:pt idx="13">
                  <c:v>0.10033467208545055</c:v>
                </c:pt>
                <c:pt idx="14">
                  <c:v>0.10033467208545055</c:v>
                </c:pt>
                <c:pt idx="15">
                  <c:v>0.10033467208545055</c:v>
                </c:pt>
                <c:pt idx="16">
                  <c:v>0.10033467208545055</c:v>
                </c:pt>
                <c:pt idx="17">
                  <c:v>0.10033467208545055</c:v>
                </c:pt>
                <c:pt idx="18">
                  <c:v>0.10033467208545055</c:v>
                </c:pt>
                <c:pt idx="19">
                  <c:v>0.10033467208545055</c:v>
                </c:pt>
                <c:pt idx="20">
                  <c:v>0.10033467208545055</c:v>
                </c:pt>
                <c:pt idx="21">
                  <c:v>0.10033467208545055</c:v>
                </c:pt>
                <c:pt idx="22">
                  <c:v>0.10033467208545055</c:v>
                </c:pt>
                <c:pt idx="23">
                  <c:v>0.10033467208545055</c:v>
                </c:pt>
                <c:pt idx="24">
                  <c:v>0.10033467208545055</c:v>
                </c:pt>
                <c:pt idx="25">
                  <c:v>0.10033467208545055</c:v>
                </c:pt>
                <c:pt idx="26">
                  <c:v>0.10033467208545055</c:v>
                </c:pt>
                <c:pt idx="27">
                  <c:v>0.10033467208545055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08-4942-AD19-4B2D2382BC46}"/>
            </c:ext>
          </c:extLst>
        </c:ser>
        <c:ser>
          <c:idx val="1"/>
          <c:order val="1"/>
          <c:tx>
            <c:strRef>
              <c:f>'2.6 Метод целевой фн Вар11 1'!$C$16</c:f>
              <c:strCache>
                <c:ptCount val="1"/>
                <c:pt idx="0">
                  <c:v>0,50000</c:v>
                </c:pt>
              </c:strCache>
            </c:strRef>
          </c:tx>
          <c:spPr>
            <a:solidFill>
              <a:schemeClr val="accent2"/>
            </a:solidFill>
            <a:ln/>
            <a:effectLst/>
            <a:sp3d/>
          </c:spPr>
          <c:cat>
            <c:numRef>
              <c:f>'2.6 Метод целевой фн Вар11 1'!$A$17:$A$44</c:f>
              <c:numCache>
                <c:formatCode>General</c:formatCode>
                <c:ptCount val="28"/>
                <c:pt idx="0">
                  <c:v>6.7776395278265039E-2</c:v>
                </c:pt>
                <c:pt idx="1">
                  <c:v>6.877639527826504E-2</c:v>
                </c:pt>
                <c:pt idx="2">
                  <c:v>6.9776395278265041E-2</c:v>
                </c:pt>
                <c:pt idx="3">
                  <c:v>7.0776395278265042E-2</c:v>
                </c:pt>
                <c:pt idx="4">
                  <c:v>7.1776395278265043E-2</c:v>
                </c:pt>
                <c:pt idx="5">
                  <c:v>7.2776395278265044E-2</c:v>
                </c:pt>
                <c:pt idx="6">
                  <c:v>1.06777639527827</c:v>
                </c:pt>
                <c:pt idx="7">
                  <c:v>1.0687763952782698</c:v>
                </c:pt>
                <c:pt idx="8">
                  <c:v>1.0697763952782697</c:v>
                </c:pt>
                <c:pt idx="9">
                  <c:v>1.0707763952782696</c:v>
                </c:pt>
                <c:pt idx="10">
                  <c:v>1.0717763952782695</c:v>
                </c:pt>
                <c:pt idx="11">
                  <c:v>1.0727763952782694</c:v>
                </c:pt>
                <c:pt idx="12">
                  <c:v>2.06777639527827</c:v>
                </c:pt>
                <c:pt idx="13">
                  <c:v>2.0687763952782698</c:v>
                </c:pt>
                <c:pt idx="14">
                  <c:v>2.0697763952782697</c:v>
                </c:pt>
                <c:pt idx="15">
                  <c:v>2.0707763952782696</c:v>
                </c:pt>
                <c:pt idx="16">
                  <c:v>2.0717763952782695</c:v>
                </c:pt>
                <c:pt idx="17">
                  <c:v>2.0727763952782694</c:v>
                </c:pt>
                <c:pt idx="18">
                  <c:v>3.06777639527827</c:v>
                </c:pt>
                <c:pt idx="19">
                  <c:v>3.0687763952782698</c:v>
                </c:pt>
                <c:pt idx="20">
                  <c:v>3.0697763952782697</c:v>
                </c:pt>
                <c:pt idx="21">
                  <c:v>3.0707763952782696</c:v>
                </c:pt>
                <c:pt idx="22">
                  <c:v>3.0717763952782695</c:v>
                </c:pt>
                <c:pt idx="23">
                  <c:v>3.0727763952782694</c:v>
                </c:pt>
                <c:pt idx="24">
                  <c:v>4.0677763952782602</c:v>
                </c:pt>
                <c:pt idx="25">
                  <c:v>4.0687763952782605</c:v>
                </c:pt>
                <c:pt idx="26">
                  <c:v>4.0697763952782608</c:v>
                </c:pt>
                <c:pt idx="27">
                  <c:v>4.0707763952782612</c:v>
                </c:pt>
              </c:numCache>
            </c:numRef>
          </c:cat>
          <c:val>
            <c:numRef>
              <c:f>'2.6 Метод целевой фн Вар11 1'!$C$17:$C$44</c:f>
              <c:numCache>
                <c:formatCode>0.00</c:formatCode>
                <c:ptCount val="28"/>
                <c:pt idx="0">
                  <c:v>0.38469400492724731</c:v>
                </c:pt>
                <c:pt idx="1">
                  <c:v>0.38520311049388828</c:v>
                </c:pt>
                <c:pt idx="2">
                  <c:v>0.3857122848978447</c:v>
                </c:pt>
                <c:pt idx="3">
                  <c:v>0.3862215284077179</c:v>
                </c:pt>
                <c:pt idx="4">
                  <c:v>0.38673084129225133</c:v>
                </c:pt>
                <c:pt idx="5">
                  <c:v>0.38724022382033085</c:v>
                </c:pt>
                <c:pt idx="6">
                  <c:v>0.98508688578629899</c:v>
                </c:pt>
                <c:pt idx="7">
                  <c:v>0.98585734539270764</c:v>
                </c:pt>
                <c:pt idx="8">
                  <c:v>0.9866283721561977</c:v>
                </c:pt>
                <c:pt idx="9">
                  <c:v>0.98739996708918965</c:v>
                </c:pt>
                <c:pt idx="10">
                  <c:v>0.98817213120616543</c:v>
                </c:pt>
                <c:pt idx="11">
                  <c:v>0.98894486552367356</c:v>
                </c:pt>
                <c:pt idx="12">
                  <c:v>2.3912869535018246</c:v>
                </c:pt>
                <c:pt idx="13">
                  <c:v>2.3940825016788252</c:v>
                </c:pt>
                <c:pt idx="14">
                  <c:v>2.3968840501748438</c:v>
                </c:pt>
                <c:pt idx="15">
                  <c:v>2.3996916197344089</c:v>
                </c:pt>
                <c:pt idx="16">
                  <c:v>2.4025052311973458</c:v>
                </c:pt>
                <c:pt idx="17">
                  <c:v>2.4053249054993269</c:v>
                </c:pt>
                <c:pt idx="18">
                  <c:v>-15.578866270757517</c:v>
                </c:pt>
                <c:pt idx="19">
                  <c:v>-15.454077389903254</c:v>
                </c:pt>
                <c:pt idx="20">
                  <c:v>-15.331232935739747</c:v>
                </c:pt>
                <c:pt idx="21">
                  <c:v>-15.210287753292191</c:v>
                </c:pt>
                <c:pt idx="22">
                  <c:v>-15.091198075008124</c:v>
                </c:pt>
                <c:pt idx="23">
                  <c:v>-14.973921467876554</c:v>
                </c:pt>
                <c:pt idx="24">
                  <c:v>-1.3341205385643655</c:v>
                </c:pt>
                <c:pt idx="25">
                  <c:v>-1.332367208221207</c:v>
                </c:pt>
                <c:pt idx="26">
                  <c:v>-1.3306166500973853</c:v>
                </c:pt>
                <c:pt idx="27">
                  <c:v>-1.3288688567500857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08-4942-AD19-4B2D2382BC46}"/>
            </c:ext>
          </c:extLst>
        </c:ser>
        <c:ser>
          <c:idx val="2"/>
          <c:order val="2"/>
          <c:tx>
            <c:strRef>
              <c:f>'2.6 Метод целевой фн Вар11 1'!$D$16</c:f>
              <c:strCache>
                <c:ptCount val="1"/>
                <c:pt idx="0">
                  <c:v>1,00000</c:v>
                </c:pt>
              </c:strCache>
            </c:strRef>
          </c:tx>
          <c:spPr>
            <a:solidFill>
              <a:schemeClr val="accent3"/>
            </a:solidFill>
            <a:ln/>
            <a:effectLst/>
            <a:sp3d/>
          </c:spPr>
          <c:cat>
            <c:numRef>
              <c:f>'2.6 Метод целевой фн Вар11 1'!$A$17:$A$44</c:f>
              <c:numCache>
                <c:formatCode>General</c:formatCode>
                <c:ptCount val="28"/>
                <c:pt idx="0">
                  <c:v>6.7776395278265039E-2</c:v>
                </c:pt>
                <c:pt idx="1">
                  <c:v>6.877639527826504E-2</c:v>
                </c:pt>
                <c:pt idx="2">
                  <c:v>6.9776395278265041E-2</c:v>
                </c:pt>
                <c:pt idx="3">
                  <c:v>7.0776395278265042E-2</c:v>
                </c:pt>
                <c:pt idx="4">
                  <c:v>7.1776395278265043E-2</c:v>
                </c:pt>
                <c:pt idx="5">
                  <c:v>7.2776395278265044E-2</c:v>
                </c:pt>
                <c:pt idx="6">
                  <c:v>1.06777639527827</c:v>
                </c:pt>
                <c:pt idx="7">
                  <c:v>1.0687763952782698</c:v>
                </c:pt>
                <c:pt idx="8">
                  <c:v>1.0697763952782697</c:v>
                </c:pt>
                <c:pt idx="9">
                  <c:v>1.0707763952782696</c:v>
                </c:pt>
                <c:pt idx="10">
                  <c:v>1.0717763952782695</c:v>
                </c:pt>
                <c:pt idx="11">
                  <c:v>1.0727763952782694</c:v>
                </c:pt>
                <c:pt idx="12">
                  <c:v>2.06777639527827</c:v>
                </c:pt>
                <c:pt idx="13">
                  <c:v>2.0687763952782698</c:v>
                </c:pt>
                <c:pt idx="14">
                  <c:v>2.0697763952782697</c:v>
                </c:pt>
                <c:pt idx="15">
                  <c:v>2.0707763952782696</c:v>
                </c:pt>
                <c:pt idx="16">
                  <c:v>2.0717763952782695</c:v>
                </c:pt>
                <c:pt idx="17">
                  <c:v>2.0727763952782694</c:v>
                </c:pt>
                <c:pt idx="18">
                  <c:v>3.06777639527827</c:v>
                </c:pt>
                <c:pt idx="19">
                  <c:v>3.0687763952782698</c:v>
                </c:pt>
                <c:pt idx="20">
                  <c:v>3.0697763952782697</c:v>
                </c:pt>
                <c:pt idx="21">
                  <c:v>3.0707763952782696</c:v>
                </c:pt>
                <c:pt idx="22">
                  <c:v>3.0717763952782695</c:v>
                </c:pt>
                <c:pt idx="23">
                  <c:v>3.0727763952782694</c:v>
                </c:pt>
                <c:pt idx="24">
                  <c:v>4.0677763952782602</c:v>
                </c:pt>
                <c:pt idx="25">
                  <c:v>4.0687763952782605</c:v>
                </c:pt>
                <c:pt idx="26">
                  <c:v>4.0697763952782608</c:v>
                </c:pt>
                <c:pt idx="27">
                  <c:v>4.0707763952782612</c:v>
                </c:pt>
              </c:numCache>
            </c:numRef>
          </c:cat>
          <c:val>
            <c:numRef>
              <c:f>'2.6 Метод целевой фн Вар11 1'!$D$17:$D$44</c:f>
              <c:numCache>
                <c:formatCode>0.00</c:formatCode>
                <c:ptCount val="28"/>
                <c:pt idx="0">
                  <c:v>1.169368566216922</c:v>
                </c:pt>
                <c:pt idx="1">
                  <c:v>1.1703974265276935</c:v>
                </c:pt>
                <c:pt idx="2">
                  <c:v>1.1714266375286371</c:v>
                </c:pt>
                <c:pt idx="3">
                  <c:v>1.172456201458562</c:v>
                </c:pt>
                <c:pt idx="4">
                  <c:v>1.173486120559226</c:v>
                </c:pt>
                <c:pt idx="5">
                  <c:v>1.174516397075354</c:v>
                </c:pt>
                <c:pt idx="6">
                  <c:v>3.3454493301157182</c:v>
                </c:pt>
                <c:pt idx="7">
                  <c:v>3.3519657487777832</c:v>
                </c:pt>
                <c:pt idx="8">
                  <c:v>3.3585128925013779</c:v>
                </c:pt>
                <c:pt idx="9">
                  <c:v>3.3650909922913352</c:v>
                </c:pt>
                <c:pt idx="10">
                  <c:v>3.3717002814665427</c:v>
                </c:pt>
                <c:pt idx="11">
                  <c:v>3.3783409956890122</c:v>
                </c:pt>
                <c:pt idx="12">
                  <c:v>-0.47121015524911702</c:v>
                </c:pt>
                <c:pt idx="13">
                  <c:v>-0.46805034362189324</c:v>
                </c:pt>
                <c:pt idx="14">
                  <c:v>-0.46489979592293462</c:v>
                </c:pt>
                <c:pt idx="15">
                  <c:v>-0.46175846519846675</c:v>
                </c:pt>
                <c:pt idx="16">
                  <c:v>-0.45862630480580258</c:v>
                </c:pt>
                <c:pt idx="17">
                  <c:v>-0.45550326841075606</c:v>
                </c:pt>
                <c:pt idx="18">
                  <c:v>1.0261897270857916</c:v>
                </c:pt>
                <c:pt idx="19">
                  <c:v>1.027190439529553</c:v>
                </c:pt>
                <c:pt idx="20">
                  <c:v>1.0281912063944345</c:v>
                </c:pt>
                <c:pt idx="21">
                  <c:v>1.0291920296865762</c:v>
                </c:pt>
                <c:pt idx="22">
                  <c:v>1.0301929114125696</c:v>
                </c:pt>
                <c:pt idx="23">
                  <c:v>1.0311938535794747</c:v>
                </c:pt>
                <c:pt idx="24">
                  <c:v>2.6509359653696167</c:v>
                </c:pt>
                <c:pt idx="25">
                  <c:v>2.6546677170583632</c:v>
                </c:pt>
                <c:pt idx="26">
                  <c:v>2.6584118388377171</c:v>
                </c:pt>
                <c:pt idx="27">
                  <c:v>2.6621683998423462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608-4942-AD19-4B2D2382BC46}"/>
            </c:ext>
          </c:extLst>
        </c:ser>
        <c:ser>
          <c:idx val="3"/>
          <c:order val="3"/>
          <c:tx>
            <c:strRef>
              <c:f>'2.6 Метод целевой фн Вар11 1'!$E$16</c:f>
              <c:strCache>
                <c:ptCount val="1"/>
                <c:pt idx="0">
                  <c:v>1,50000</c:v>
                </c:pt>
              </c:strCache>
            </c:strRef>
          </c:tx>
          <c:spPr>
            <a:solidFill>
              <a:schemeClr val="accent4"/>
            </a:solidFill>
            <a:ln/>
            <a:effectLst/>
            <a:sp3d/>
          </c:spPr>
          <c:cat>
            <c:numRef>
              <c:f>'2.6 Метод целевой фн Вар11 1'!$A$17:$A$44</c:f>
              <c:numCache>
                <c:formatCode>General</c:formatCode>
                <c:ptCount val="28"/>
                <c:pt idx="0">
                  <c:v>6.7776395278265039E-2</c:v>
                </c:pt>
                <c:pt idx="1">
                  <c:v>6.877639527826504E-2</c:v>
                </c:pt>
                <c:pt idx="2">
                  <c:v>6.9776395278265041E-2</c:v>
                </c:pt>
                <c:pt idx="3">
                  <c:v>7.0776395278265042E-2</c:v>
                </c:pt>
                <c:pt idx="4">
                  <c:v>7.1776395278265043E-2</c:v>
                </c:pt>
                <c:pt idx="5">
                  <c:v>7.2776395278265044E-2</c:v>
                </c:pt>
                <c:pt idx="6">
                  <c:v>1.06777639527827</c:v>
                </c:pt>
                <c:pt idx="7">
                  <c:v>1.0687763952782698</c:v>
                </c:pt>
                <c:pt idx="8">
                  <c:v>1.0697763952782697</c:v>
                </c:pt>
                <c:pt idx="9">
                  <c:v>1.0707763952782696</c:v>
                </c:pt>
                <c:pt idx="10">
                  <c:v>1.0717763952782695</c:v>
                </c:pt>
                <c:pt idx="11">
                  <c:v>1.0727763952782694</c:v>
                </c:pt>
                <c:pt idx="12">
                  <c:v>2.06777639527827</c:v>
                </c:pt>
                <c:pt idx="13">
                  <c:v>2.0687763952782698</c:v>
                </c:pt>
                <c:pt idx="14">
                  <c:v>2.0697763952782697</c:v>
                </c:pt>
                <c:pt idx="15">
                  <c:v>2.0707763952782696</c:v>
                </c:pt>
                <c:pt idx="16">
                  <c:v>2.0717763952782695</c:v>
                </c:pt>
                <c:pt idx="17">
                  <c:v>2.0727763952782694</c:v>
                </c:pt>
                <c:pt idx="18">
                  <c:v>3.06777639527827</c:v>
                </c:pt>
                <c:pt idx="19">
                  <c:v>3.0687763952782698</c:v>
                </c:pt>
                <c:pt idx="20">
                  <c:v>3.0697763952782697</c:v>
                </c:pt>
                <c:pt idx="21">
                  <c:v>3.0707763952782696</c:v>
                </c:pt>
                <c:pt idx="22">
                  <c:v>3.0717763952782695</c:v>
                </c:pt>
                <c:pt idx="23">
                  <c:v>3.0727763952782694</c:v>
                </c:pt>
                <c:pt idx="24">
                  <c:v>4.0677763952782602</c:v>
                </c:pt>
                <c:pt idx="25">
                  <c:v>4.0687763952782605</c:v>
                </c:pt>
                <c:pt idx="26">
                  <c:v>4.0697763952782608</c:v>
                </c:pt>
                <c:pt idx="27">
                  <c:v>4.0707763952782612</c:v>
                </c:pt>
              </c:numCache>
            </c:numRef>
          </c:cat>
          <c:val>
            <c:numRef>
              <c:f>'2.6 Метод целевой фн Вар11 1'!$E$17:$E$44</c:f>
              <c:numCache>
                <c:formatCode>0.00</c:formatCode>
                <c:ptCount val="28"/>
                <c:pt idx="0">
                  <c:v>2.4544436153728788</c:v>
                </c:pt>
                <c:pt idx="1">
                  <c:v>2.4560067917051924</c:v>
                </c:pt>
                <c:pt idx="2">
                  <c:v>2.4575709344116738</c:v>
                </c:pt>
                <c:pt idx="3">
                  <c:v>2.4591360514339344</c:v>
                </c:pt>
                <c:pt idx="4">
                  <c:v>2.4607021507322586</c:v>
                </c:pt>
                <c:pt idx="5">
                  <c:v>2.4622692402857695</c:v>
                </c:pt>
                <c:pt idx="6">
                  <c:v>-5.347599221663101</c:v>
                </c:pt>
                <c:pt idx="7">
                  <c:v>-5.2605064296373447</c:v>
                </c:pt>
                <c:pt idx="8">
                  <c:v>-5.1753541110826742</c:v>
                </c:pt>
                <c:pt idx="9">
                  <c:v>-5.0920777577320129</c:v>
                </c:pt>
                <c:pt idx="10">
                  <c:v>-5.0106156891968237</c:v>
                </c:pt>
                <c:pt idx="11">
                  <c:v>-4.9309088996870898</c:v>
                </c:pt>
                <c:pt idx="12">
                  <c:v>2.3101443030754516</c:v>
                </c:pt>
                <c:pt idx="13">
                  <c:v>2.3116498660369649</c:v>
                </c:pt>
                <c:pt idx="14">
                  <c:v>2.3131557074777045</c:v>
                </c:pt>
                <c:pt idx="15">
                  <c:v>2.3146618342531333</c:v>
                </c:pt>
                <c:pt idx="16">
                  <c:v>2.3161682532238812</c:v>
                </c:pt>
                <c:pt idx="17">
                  <c:v>2.317674971255872</c:v>
                </c:pt>
                <c:pt idx="18">
                  <c:v>95.491843905859398</c:v>
                </c:pt>
                <c:pt idx="19">
                  <c:v>110.65520742189767</c:v>
                </c:pt>
                <c:pt idx="20">
                  <c:v>131.70752856591272</c:v>
                </c:pt>
                <c:pt idx="21">
                  <c:v>162.9063040763948</c:v>
                </c:pt>
                <c:pt idx="22">
                  <c:v>213.91607670679932</c:v>
                </c:pt>
                <c:pt idx="23">
                  <c:v>312.38534960828457</c:v>
                </c:pt>
                <c:pt idx="24">
                  <c:v>2.1682982189857913</c:v>
                </c:pt>
                <c:pt idx="25">
                  <c:v>2.1698080478561339</c:v>
                </c:pt>
                <c:pt idx="26">
                  <c:v>2.1713175135415166</c:v>
                </c:pt>
                <c:pt idx="27">
                  <c:v>2.1728266229631394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608-4942-AD19-4B2D2382BC46}"/>
            </c:ext>
          </c:extLst>
        </c:ser>
        <c:ser>
          <c:idx val="4"/>
          <c:order val="4"/>
          <c:tx>
            <c:strRef>
              <c:f>'2.6 Метод целевой фн Вар11 1'!$F$16</c:f>
              <c:strCache>
                <c:ptCount val="1"/>
                <c:pt idx="0">
                  <c:v>2,00000</c:v>
                </c:pt>
              </c:strCache>
            </c:strRef>
          </c:tx>
          <c:spPr>
            <a:solidFill>
              <a:schemeClr val="accent5"/>
            </a:solidFill>
            <a:ln/>
            <a:effectLst/>
            <a:sp3d/>
          </c:spPr>
          <c:cat>
            <c:numRef>
              <c:f>'2.6 Метод целевой фн Вар11 1'!$A$17:$A$44</c:f>
              <c:numCache>
                <c:formatCode>General</c:formatCode>
                <c:ptCount val="28"/>
                <c:pt idx="0">
                  <c:v>6.7776395278265039E-2</c:v>
                </c:pt>
                <c:pt idx="1">
                  <c:v>6.877639527826504E-2</c:v>
                </c:pt>
                <c:pt idx="2">
                  <c:v>6.9776395278265041E-2</c:v>
                </c:pt>
                <c:pt idx="3">
                  <c:v>7.0776395278265042E-2</c:v>
                </c:pt>
                <c:pt idx="4">
                  <c:v>7.1776395278265043E-2</c:v>
                </c:pt>
                <c:pt idx="5">
                  <c:v>7.2776395278265044E-2</c:v>
                </c:pt>
                <c:pt idx="6">
                  <c:v>1.06777639527827</c:v>
                </c:pt>
                <c:pt idx="7">
                  <c:v>1.0687763952782698</c:v>
                </c:pt>
                <c:pt idx="8">
                  <c:v>1.0697763952782697</c:v>
                </c:pt>
                <c:pt idx="9">
                  <c:v>1.0707763952782696</c:v>
                </c:pt>
                <c:pt idx="10">
                  <c:v>1.0717763952782695</c:v>
                </c:pt>
                <c:pt idx="11">
                  <c:v>1.0727763952782694</c:v>
                </c:pt>
                <c:pt idx="12">
                  <c:v>2.06777639527827</c:v>
                </c:pt>
                <c:pt idx="13">
                  <c:v>2.0687763952782698</c:v>
                </c:pt>
                <c:pt idx="14">
                  <c:v>2.0697763952782697</c:v>
                </c:pt>
                <c:pt idx="15">
                  <c:v>2.0707763952782696</c:v>
                </c:pt>
                <c:pt idx="16">
                  <c:v>2.0717763952782695</c:v>
                </c:pt>
                <c:pt idx="17">
                  <c:v>2.0727763952782694</c:v>
                </c:pt>
                <c:pt idx="18">
                  <c:v>3.06777639527827</c:v>
                </c:pt>
                <c:pt idx="19">
                  <c:v>3.0687763952782698</c:v>
                </c:pt>
                <c:pt idx="20">
                  <c:v>3.0697763952782697</c:v>
                </c:pt>
                <c:pt idx="21">
                  <c:v>3.0707763952782696</c:v>
                </c:pt>
                <c:pt idx="22">
                  <c:v>3.0717763952782695</c:v>
                </c:pt>
                <c:pt idx="23">
                  <c:v>3.0727763952782694</c:v>
                </c:pt>
                <c:pt idx="24">
                  <c:v>4.0677763952782602</c:v>
                </c:pt>
                <c:pt idx="25">
                  <c:v>4.0687763952782605</c:v>
                </c:pt>
                <c:pt idx="26">
                  <c:v>4.0697763952782608</c:v>
                </c:pt>
                <c:pt idx="27">
                  <c:v>4.0707763952782612</c:v>
                </c:pt>
              </c:numCache>
            </c:numRef>
          </c:cat>
          <c:val>
            <c:numRef>
              <c:f>'2.6 Метод целевой фн Вар11 1'!$F$17:$F$44</c:f>
              <c:numCache>
                <c:formatCode>0.00</c:formatCode>
                <c:ptCount val="28"/>
                <c:pt idx="0">
                  <c:v>4.2400082596976834</c:v>
                </c:pt>
                <c:pt idx="1">
                  <c:v>4.2421244862724805</c:v>
                </c:pt>
                <c:pt idx="2">
                  <c:v>4.2442427634040802</c:v>
                </c:pt>
                <c:pt idx="3">
                  <c:v>4.2463631110452962</c:v>
                </c:pt>
                <c:pt idx="4">
                  <c:v>4.2484855492211269</c:v>
                </c:pt>
                <c:pt idx="5">
                  <c:v>4.2506100980295578</c:v>
                </c:pt>
                <c:pt idx="6">
                  <c:v>2.7240905475031503</c:v>
                </c:pt>
                <c:pt idx="7">
                  <c:v>2.7293330663962969</c:v>
                </c:pt>
                <c:pt idx="8">
                  <c:v>2.7345490068171525</c:v>
                </c:pt>
                <c:pt idx="9">
                  <c:v>2.7397386117873941</c:v>
                </c:pt>
                <c:pt idx="10">
                  <c:v>2.7449021214615739</c:v>
                </c:pt>
                <c:pt idx="11">
                  <c:v>2.7500397731696822</c:v>
                </c:pt>
                <c:pt idx="12">
                  <c:v>5.9357481519102127</c:v>
                </c:pt>
                <c:pt idx="13">
                  <c:v>5.9452793062625151</c:v>
                </c:pt>
                <c:pt idx="14">
                  <c:v>5.9548849134063415</c:v>
                </c:pt>
                <c:pt idx="15">
                  <c:v>5.9645659268981328</c:v>
                </c:pt>
                <c:pt idx="16">
                  <c:v>5.9743233165407013</c:v>
                </c:pt>
                <c:pt idx="17">
                  <c:v>5.9841580687313032</c:v>
                </c:pt>
                <c:pt idx="18">
                  <c:v>3.9523314268699106</c:v>
                </c:pt>
                <c:pt idx="19">
                  <c:v>3.9543357830385171</c:v>
                </c:pt>
                <c:pt idx="20">
                  <c:v>3.9563397731306491</c:v>
                </c:pt>
                <c:pt idx="21">
                  <c:v>3.9583434132742239</c:v>
                </c:pt>
                <c:pt idx="22">
                  <c:v>3.9603467195859285</c:v>
                </c:pt>
                <c:pt idx="23">
                  <c:v>3.9623497081717396</c:v>
                </c:pt>
                <c:pt idx="24">
                  <c:v>1.5076991592978914</c:v>
                </c:pt>
                <c:pt idx="25">
                  <c:v>1.5220507683399469</c:v>
                </c:pt>
                <c:pt idx="26">
                  <c:v>1.5362608284609554</c:v>
                </c:pt>
                <c:pt idx="27">
                  <c:v>1.5503315355283136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608-4942-AD19-4B2D2382BC46}"/>
            </c:ext>
          </c:extLst>
        </c:ser>
        <c:ser>
          <c:idx val="5"/>
          <c:order val="5"/>
          <c:tx>
            <c:strRef>
              <c:f>'2.6 Метод целевой фн Вар11 1'!$G$16</c:f>
              <c:strCache>
                <c:ptCount val="1"/>
                <c:pt idx="0">
                  <c:v>2,50000</c:v>
                </c:pt>
              </c:strCache>
            </c:strRef>
          </c:tx>
          <c:spPr>
            <a:solidFill>
              <a:schemeClr val="accent6"/>
            </a:solidFill>
            <a:ln/>
            <a:effectLst/>
            <a:sp3d/>
          </c:spPr>
          <c:cat>
            <c:numRef>
              <c:f>'2.6 Метод целевой фн Вар11 1'!$A$17:$A$44</c:f>
              <c:numCache>
                <c:formatCode>General</c:formatCode>
                <c:ptCount val="28"/>
                <c:pt idx="0">
                  <c:v>6.7776395278265039E-2</c:v>
                </c:pt>
                <c:pt idx="1">
                  <c:v>6.877639527826504E-2</c:v>
                </c:pt>
                <c:pt idx="2">
                  <c:v>6.9776395278265041E-2</c:v>
                </c:pt>
                <c:pt idx="3">
                  <c:v>7.0776395278265042E-2</c:v>
                </c:pt>
                <c:pt idx="4">
                  <c:v>7.1776395278265043E-2</c:v>
                </c:pt>
                <c:pt idx="5">
                  <c:v>7.2776395278265044E-2</c:v>
                </c:pt>
                <c:pt idx="6">
                  <c:v>1.06777639527827</c:v>
                </c:pt>
                <c:pt idx="7">
                  <c:v>1.0687763952782698</c:v>
                </c:pt>
                <c:pt idx="8">
                  <c:v>1.0697763952782697</c:v>
                </c:pt>
                <c:pt idx="9">
                  <c:v>1.0707763952782696</c:v>
                </c:pt>
                <c:pt idx="10">
                  <c:v>1.0717763952782695</c:v>
                </c:pt>
                <c:pt idx="11">
                  <c:v>1.0727763952782694</c:v>
                </c:pt>
                <c:pt idx="12">
                  <c:v>2.06777639527827</c:v>
                </c:pt>
                <c:pt idx="13">
                  <c:v>2.0687763952782698</c:v>
                </c:pt>
                <c:pt idx="14">
                  <c:v>2.0697763952782697</c:v>
                </c:pt>
                <c:pt idx="15">
                  <c:v>2.0707763952782696</c:v>
                </c:pt>
                <c:pt idx="16">
                  <c:v>2.0717763952782695</c:v>
                </c:pt>
                <c:pt idx="17">
                  <c:v>2.0727763952782694</c:v>
                </c:pt>
                <c:pt idx="18">
                  <c:v>3.06777639527827</c:v>
                </c:pt>
                <c:pt idx="19">
                  <c:v>3.0687763952782698</c:v>
                </c:pt>
                <c:pt idx="20">
                  <c:v>3.0697763952782697</c:v>
                </c:pt>
                <c:pt idx="21">
                  <c:v>3.0707763952782696</c:v>
                </c:pt>
                <c:pt idx="22">
                  <c:v>3.0717763952782695</c:v>
                </c:pt>
                <c:pt idx="23">
                  <c:v>3.0727763952782694</c:v>
                </c:pt>
                <c:pt idx="24">
                  <c:v>4.0677763952782602</c:v>
                </c:pt>
                <c:pt idx="25">
                  <c:v>4.0687763952782605</c:v>
                </c:pt>
                <c:pt idx="26">
                  <c:v>4.0697763952782608</c:v>
                </c:pt>
                <c:pt idx="27">
                  <c:v>4.0707763952782612</c:v>
                </c:pt>
              </c:numCache>
            </c:numRef>
          </c:cat>
          <c:val>
            <c:numRef>
              <c:f>'2.6 Метод целевой фн Вар11 1'!$G$17:$G$44</c:f>
              <c:numCache>
                <c:formatCode>0.00</c:formatCode>
                <c:ptCount val="28"/>
                <c:pt idx="0">
                  <c:v>6.526156399557359</c:v>
                </c:pt>
                <c:pt idx="1">
                  <c:v>6.5288489199511641</c:v>
                </c:pt>
                <c:pt idx="2">
                  <c:v>6.5315451970036653</c:v>
                </c:pt>
                <c:pt idx="3">
                  <c:v>6.5342452723568325</c:v>
                </c:pt>
                <c:pt idx="4">
                  <c:v>6.5369491878651349</c:v>
                </c:pt>
                <c:pt idx="5">
                  <c:v>6.5396569855983246</c:v>
                </c:pt>
                <c:pt idx="6">
                  <c:v>5.8596594097069792</c:v>
                </c:pt>
                <c:pt idx="7">
                  <c:v>5.8625375215344491</c:v>
                </c:pt>
                <c:pt idx="8">
                  <c:v>5.8654100629444237</c:v>
                </c:pt>
                <c:pt idx="9">
                  <c:v>5.8682770858961595</c:v>
                </c:pt>
                <c:pt idx="10">
                  <c:v>5.8711386420117684</c:v>
                </c:pt>
                <c:pt idx="11">
                  <c:v>5.8739947825802696</c:v>
                </c:pt>
                <c:pt idx="12">
                  <c:v>4.6444779097822337</c:v>
                </c:pt>
                <c:pt idx="13">
                  <c:v>4.6533864242551477</c:v>
                </c:pt>
                <c:pt idx="14">
                  <c:v>4.6622241040437977</c:v>
                </c:pt>
                <c:pt idx="15">
                  <c:v>4.6709918998125373</c:v>
                </c:pt>
                <c:pt idx="16">
                  <c:v>4.6796907455167123</c:v>
                </c:pt>
                <c:pt idx="17">
                  <c:v>4.688321558769557</c:v>
                </c:pt>
                <c:pt idx="18">
                  <c:v>18.050436125126236</c:v>
                </c:pt>
                <c:pt idx="19">
                  <c:v>18.411720904568153</c:v>
                </c:pt>
                <c:pt idx="20">
                  <c:v>18.795663860535466</c:v>
                </c:pt>
                <c:pt idx="21">
                  <c:v>19.204470802670428</c:v>
                </c:pt>
                <c:pt idx="22">
                  <c:v>19.64064346071595</c:v>
                </c:pt>
                <c:pt idx="23">
                  <c:v>20.107030830546613</c:v>
                </c:pt>
                <c:pt idx="24">
                  <c:v>7.3761539576633011</c:v>
                </c:pt>
                <c:pt idx="25">
                  <c:v>7.3818405362587267</c:v>
                </c:pt>
                <c:pt idx="26">
                  <c:v>7.3875593877416268</c:v>
                </c:pt>
                <c:pt idx="27">
                  <c:v>7.3933108597278441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608-4942-AD19-4B2D2382BC46}"/>
            </c:ext>
          </c:extLst>
        </c:ser>
        <c:ser>
          <c:idx val="6"/>
          <c:order val="6"/>
          <c:tx>
            <c:strRef>
              <c:f>'2.6 Метод целевой фн Вар11 1'!$H$16</c:f>
              <c:strCache>
                <c:ptCount val="1"/>
                <c:pt idx="0">
                  <c:v>3,00000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/>
            <a:effectLst/>
            <a:sp3d/>
          </c:spPr>
          <c:cat>
            <c:numRef>
              <c:f>'2.6 Метод целевой фн Вар11 1'!$A$17:$A$44</c:f>
              <c:numCache>
                <c:formatCode>General</c:formatCode>
                <c:ptCount val="28"/>
                <c:pt idx="0">
                  <c:v>6.7776395278265039E-2</c:v>
                </c:pt>
                <c:pt idx="1">
                  <c:v>6.877639527826504E-2</c:v>
                </c:pt>
                <c:pt idx="2">
                  <c:v>6.9776395278265041E-2</c:v>
                </c:pt>
                <c:pt idx="3">
                  <c:v>7.0776395278265042E-2</c:v>
                </c:pt>
                <c:pt idx="4">
                  <c:v>7.1776395278265043E-2</c:v>
                </c:pt>
                <c:pt idx="5">
                  <c:v>7.2776395278265044E-2</c:v>
                </c:pt>
                <c:pt idx="6">
                  <c:v>1.06777639527827</c:v>
                </c:pt>
                <c:pt idx="7">
                  <c:v>1.0687763952782698</c:v>
                </c:pt>
                <c:pt idx="8">
                  <c:v>1.0697763952782697</c:v>
                </c:pt>
                <c:pt idx="9">
                  <c:v>1.0707763952782696</c:v>
                </c:pt>
                <c:pt idx="10">
                  <c:v>1.0717763952782695</c:v>
                </c:pt>
                <c:pt idx="11">
                  <c:v>1.0727763952782694</c:v>
                </c:pt>
                <c:pt idx="12">
                  <c:v>2.06777639527827</c:v>
                </c:pt>
                <c:pt idx="13">
                  <c:v>2.0687763952782698</c:v>
                </c:pt>
                <c:pt idx="14">
                  <c:v>2.0697763952782697</c:v>
                </c:pt>
                <c:pt idx="15">
                  <c:v>2.0707763952782696</c:v>
                </c:pt>
                <c:pt idx="16">
                  <c:v>2.0717763952782695</c:v>
                </c:pt>
                <c:pt idx="17">
                  <c:v>2.0727763952782694</c:v>
                </c:pt>
                <c:pt idx="18">
                  <c:v>3.06777639527827</c:v>
                </c:pt>
                <c:pt idx="19">
                  <c:v>3.0687763952782698</c:v>
                </c:pt>
                <c:pt idx="20">
                  <c:v>3.0697763952782697</c:v>
                </c:pt>
                <c:pt idx="21">
                  <c:v>3.0707763952782696</c:v>
                </c:pt>
                <c:pt idx="22">
                  <c:v>3.0717763952782695</c:v>
                </c:pt>
                <c:pt idx="23">
                  <c:v>3.0727763952782694</c:v>
                </c:pt>
                <c:pt idx="24">
                  <c:v>4.0677763952782602</c:v>
                </c:pt>
                <c:pt idx="25">
                  <c:v>4.0687763952782605</c:v>
                </c:pt>
                <c:pt idx="26">
                  <c:v>4.0697763952782608</c:v>
                </c:pt>
                <c:pt idx="27">
                  <c:v>4.0707763952782612</c:v>
                </c:pt>
              </c:numCache>
            </c:numRef>
          </c:cat>
          <c:val>
            <c:numRef>
              <c:f>'2.6 Метод целевой фн Вар11 1'!$H$17:$H$44</c:f>
              <c:numCache>
                <c:formatCode>0.00</c:formatCode>
                <c:ptCount val="28"/>
                <c:pt idx="0">
                  <c:v>9.3129877755961132</c:v>
                </c:pt>
                <c:pt idx="1">
                  <c:v>9.3162847652825089</c:v>
                </c:pt>
                <c:pt idx="2">
                  <c:v>9.3195880176557271</c:v>
                </c:pt>
                <c:pt idx="3">
                  <c:v>9.3228976102059651</c:v>
                </c:pt>
                <c:pt idx="4">
                  <c:v>9.3262136209498667</c:v>
                </c:pt>
                <c:pt idx="5">
                  <c:v>9.3295361284384715</c:v>
                </c:pt>
                <c:pt idx="6">
                  <c:v>9.1631617193159176</c:v>
                </c:pt>
                <c:pt idx="7">
                  <c:v>9.1662431020911548</c:v>
                </c:pt>
                <c:pt idx="8">
                  <c:v>9.1693275599610473</c:v>
                </c:pt>
                <c:pt idx="9">
                  <c:v>9.1724151531353737</c:v>
                </c:pt>
                <c:pt idx="10">
                  <c:v>9.1755059420593739</c:v>
                </c:pt>
                <c:pt idx="11">
                  <c:v>9.1785999874186466</c:v>
                </c:pt>
                <c:pt idx="12">
                  <c:v>9.0201466037306748</c:v>
                </c:pt>
                <c:pt idx="13">
                  <c:v>9.0231480117963656</c:v>
                </c:pt>
                <c:pt idx="14">
                  <c:v>9.026149836752035</c:v>
                </c:pt>
                <c:pt idx="15">
                  <c:v>9.0291521327294646</c:v>
                </c:pt>
                <c:pt idx="16">
                  <c:v>9.0321549538943842</c:v>
                </c:pt>
                <c:pt idx="17">
                  <c:v>9.03515835445039</c:v>
                </c:pt>
                <c:pt idx="18">
                  <c:v>8.8779505657265769</c:v>
                </c:pt>
                <c:pt idx="19">
                  <c:v>8.8809941486478277</c:v>
                </c:pt>
                <c:pt idx="20">
                  <c:v>8.8840355591131068</c:v>
                </c:pt>
                <c:pt idx="21">
                  <c:v>8.8870748541352054</c:v>
                </c:pt>
                <c:pt idx="22">
                  <c:v>8.8901120905715203</c:v>
                </c:pt>
                <c:pt idx="23">
                  <c:v>8.893147325128405</c:v>
                </c:pt>
                <c:pt idx="24">
                  <c:v>8.7307191484657043</c:v>
                </c:pt>
                <c:pt idx="25">
                  <c:v>8.7339340974689534</c:v>
                </c:pt>
                <c:pt idx="26">
                  <c:v>8.7371439182203243</c:v>
                </c:pt>
                <c:pt idx="27">
                  <c:v>8.7403486806199417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608-4942-AD19-4B2D2382BC46}"/>
            </c:ext>
          </c:extLst>
        </c:ser>
        <c:ser>
          <c:idx val="7"/>
          <c:order val="7"/>
          <c:tx>
            <c:strRef>
              <c:f>'2.6 Метод целевой фн Вар11 1'!$I$16</c:f>
              <c:strCache>
                <c:ptCount val="1"/>
                <c:pt idx="0">
                  <c:v>3,50000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/>
            <a:effectLst/>
            <a:sp3d/>
          </c:spPr>
          <c:cat>
            <c:numRef>
              <c:f>'2.6 Метод целевой фн Вар11 1'!$A$17:$A$44</c:f>
              <c:numCache>
                <c:formatCode>General</c:formatCode>
                <c:ptCount val="28"/>
                <c:pt idx="0">
                  <c:v>6.7776395278265039E-2</c:v>
                </c:pt>
                <c:pt idx="1">
                  <c:v>6.877639527826504E-2</c:v>
                </c:pt>
                <c:pt idx="2">
                  <c:v>6.9776395278265041E-2</c:v>
                </c:pt>
                <c:pt idx="3">
                  <c:v>7.0776395278265042E-2</c:v>
                </c:pt>
                <c:pt idx="4">
                  <c:v>7.1776395278265043E-2</c:v>
                </c:pt>
                <c:pt idx="5">
                  <c:v>7.2776395278265044E-2</c:v>
                </c:pt>
                <c:pt idx="6">
                  <c:v>1.06777639527827</c:v>
                </c:pt>
                <c:pt idx="7">
                  <c:v>1.0687763952782698</c:v>
                </c:pt>
                <c:pt idx="8">
                  <c:v>1.0697763952782697</c:v>
                </c:pt>
                <c:pt idx="9">
                  <c:v>1.0707763952782696</c:v>
                </c:pt>
                <c:pt idx="10">
                  <c:v>1.0717763952782695</c:v>
                </c:pt>
                <c:pt idx="11">
                  <c:v>1.0727763952782694</c:v>
                </c:pt>
                <c:pt idx="12">
                  <c:v>2.06777639527827</c:v>
                </c:pt>
                <c:pt idx="13">
                  <c:v>2.0687763952782698</c:v>
                </c:pt>
                <c:pt idx="14">
                  <c:v>2.0697763952782697</c:v>
                </c:pt>
                <c:pt idx="15">
                  <c:v>2.0707763952782696</c:v>
                </c:pt>
                <c:pt idx="16">
                  <c:v>2.0717763952782695</c:v>
                </c:pt>
                <c:pt idx="17">
                  <c:v>2.0727763952782694</c:v>
                </c:pt>
                <c:pt idx="18">
                  <c:v>3.06777639527827</c:v>
                </c:pt>
                <c:pt idx="19">
                  <c:v>3.0687763952782698</c:v>
                </c:pt>
                <c:pt idx="20">
                  <c:v>3.0697763952782697</c:v>
                </c:pt>
                <c:pt idx="21">
                  <c:v>3.0707763952782696</c:v>
                </c:pt>
                <c:pt idx="22">
                  <c:v>3.0717763952782695</c:v>
                </c:pt>
                <c:pt idx="23">
                  <c:v>3.0727763952782694</c:v>
                </c:pt>
                <c:pt idx="24">
                  <c:v>4.0677763952782602</c:v>
                </c:pt>
                <c:pt idx="25">
                  <c:v>4.0687763952782605</c:v>
                </c:pt>
                <c:pt idx="26">
                  <c:v>4.0697763952782608</c:v>
                </c:pt>
                <c:pt idx="27">
                  <c:v>4.0707763952782612</c:v>
                </c:pt>
              </c:numCache>
            </c:numRef>
          </c:cat>
          <c:val>
            <c:numRef>
              <c:f>'2.6 Метод целевой фн Вар11 1'!$I$17:$I$44</c:f>
              <c:numCache>
                <c:formatCode>0.00</c:formatCode>
                <c:ptCount val="28"/>
                <c:pt idx="0">
                  <c:v>12.600609143922521</c:v>
                </c:pt>
                <c:pt idx="1">
                  <c:v>12.604544232565331</c:v>
                </c:pt>
                <c:pt idx="2">
                  <c:v>12.608489099522908</c:v>
                </c:pt>
                <c:pt idx="3">
                  <c:v>12.612443878300059</c:v>
                </c:pt>
                <c:pt idx="4">
                  <c:v>12.616408703560239</c:v>
                </c:pt>
                <c:pt idx="5">
                  <c:v>12.620383711145506</c:v>
                </c:pt>
                <c:pt idx="6">
                  <c:v>13.084836490652473</c:v>
                </c:pt>
                <c:pt idx="7">
                  <c:v>13.090793252083701</c:v>
                </c:pt>
                <c:pt idx="8">
                  <c:v>13.096785175967456</c:v>
                </c:pt>
                <c:pt idx="9">
                  <c:v>13.102812722680005</c:v>
                </c:pt>
                <c:pt idx="10">
                  <c:v>13.10887635984397</c:v>
                </c:pt>
                <c:pt idx="11">
                  <c:v>13.114976562477811</c:v>
                </c:pt>
                <c:pt idx="12">
                  <c:v>14.009716842183222</c:v>
                </c:pt>
                <c:pt idx="13">
                  <c:v>14.024143869057554</c:v>
                </c:pt>
                <c:pt idx="14">
                  <c:v>14.038751185525889</c:v>
                </c:pt>
                <c:pt idx="15">
                  <c:v>14.053542557028649</c:v>
                </c:pt>
                <c:pt idx="16">
                  <c:v>14.068521853632852</c:v>
                </c:pt>
                <c:pt idx="17">
                  <c:v>14.0836930537005</c:v>
                </c:pt>
                <c:pt idx="18">
                  <c:v>18.511975302381757</c:v>
                </c:pt>
                <c:pt idx="19">
                  <c:v>18.655872851516225</c:v>
                </c:pt>
                <c:pt idx="20">
                  <c:v>18.806370941209295</c:v>
                </c:pt>
                <c:pt idx="21">
                  <c:v>18.963938330202176</c:v>
                </c:pt>
                <c:pt idx="22">
                  <c:v>19.12908923775473</c:v>
                </c:pt>
                <c:pt idx="23">
                  <c:v>19.30238899164101</c:v>
                </c:pt>
                <c:pt idx="24">
                  <c:v>7.3181228139485759</c:v>
                </c:pt>
                <c:pt idx="25">
                  <c:v>7.4052511420001057</c:v>
                </c:pt>
                <c:pt idx="26">
                  <c:v>7.4894739223831355</c:v>
                </c:pt>
                <c:pt idx="27">
                  <c:v>7.5709360754316535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608-4942-AD19-4B2D2382BC46}"/>
            </c:ext>
          </c:extLst>
        </c:ser>
        <c:ser>
          <c:idx val="8"/>
          <c:order val="8"/>
          <c:tx>
            <c:strRef>
              <c:f>'2.6 Метод целевой фн Вар11 1'!$J$16</c:f>
              <c:strCache>
                <c:ptCount val="1"/>
                <c:pt idx="0">
                  <c:v>4,00000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/>
            <a:effectLst/>
            <a:sp3d/>
          </c:spPr>
          <c:cat>
            <c:numRef>
              <c:f>'2.6 Метод целевой фн Вар11 1'!$A$17:$A$44</c:f>
              <c:numCache>
                <c:formatCode>General</c:formatCode>
                <c:ptCount val="28"/>
                <c:pt idx="0">
                  <c:v>6.7776395278265039E-2</c:v>
                </c:pt>
                <c:pt idx="1">
                  <c:v>6.877639527826504E-2</c:v>
                </c:pt>
                <c:pt idx="2">
                  <c:v>6.9776395278265041E-2</c:v>
                </c:pt>
                <c:pt idx="3">
                  <c:v>7.0776395278265042E-2</c:v>
                </c:pt>
                <c:pt idx="4">
                  <c:v>7.1776395278265043E-2</c:v>
                </c:pt>
                <c:pt idx="5">
                  <c:v>7.2776395278265044E-2</c:v>
                </c:pt>
                <c:pt idx="6">
                  <c:v>1.06777639527827</c:v>
                </c:pt>
                <c:pt idx="7">
                  <c:v>1.0687763952782698</c:v>
                </c:pt>
                <c:pt idx="8">
                  <c:v>1.0697763952782697</c:v>
                </c:pt>
                <c:pt idx="9">
                  <c:v>1.0707763952782696</c:v>
                </c:pt>
                <c:pt idx="10">
                  <c:v>1.0717763952782695</c:v>
                </c:pt>
                <c:pt idx="11">
                  <c:v>1.0727763952782694</c:v>
                </c:pt>
                <c:pt idx="12">
                  <c:v>2.06777639527827</c:v>
                </c:pt>
                <c:pt idx="13">
                  <c:v>2.0687763952782698</c:v>
                </c:pt>
                <c:pt idx="14">
                  <c:v>2.0697763952782697</c:v>
                </c:pt>
                <c:pt idx="15">
                  <c:v>2.0707763952782696</c:v>
                </c:pt>
                <c:pt idx="16">
                  <c:v>2.0717763952782695</c:v>
                </c:pt>
                <c:pt idx="17">
                  <c:v>2.0727763952782694</c:v>
                </c:pt>
                <c:pt idx="18">
                  <c:v>3.06777639527827</c:v>
                </c:pt>
                <c:pt idx="19">
                  <c:v>3.0687763952782698</c:v>
                </c:pt>
                <c:pt idx="20">
                  <c:v>3.0697763952782697</c:v>
                </c:pt>
                <c:pt idx="21">
                  <c:v>3.0707763952782696</c:v>
                </c:pt>
                <c:pt idx="22">
                  <c:v>3.0717763952782695</c:v>
                </c:pt>
                <c:pt idx="23">
                  <c:v>3.0727763952782694</c:v>
                </c:pt>
                <c:pt idx="24">
                  <c:v>4.0677763952782602</c:v>
                </c:pt>
                <c:pt idx="25">
                  <c:v>4.0687763952782605</c:v>
                </c:pt>
                <c:pt idx="26">
                  <c:v>4.0697763952782608</c:v>
                </c:pt>
                <c:pt idx="27">
                  <c:v>4.0707763952782612</c:v>
                </c:pt>
              </c:numCache>
            </c:numRef>
          </c:cat>
          <c:val>
            <c:numRef>
              <c:f>'2.6 Метод целевой фн Вар11 1'!$J$17:$J$44</c:f>
              <c:numCache>
                <c:formatCode>0.00</c:formatCode>
                <c:ptCount val="28"/>
                <c:pt idx="0">
                  <c:v>16.389135610157258</c:v>
                </c:pt>
                <c:pt idx="1">
                  <c:v>16.393748521043413</c:v>
                </c:pt>
                <c:pt idx="2">
                  <c:v>16.398375985543758</c:v>
                </c:pt>
                <c:pt idx="3">
                  <c:v>16.403018221426986</c:v>
                </c:pt>
                <c:pt idx="4">
                  <c:v>16.407675448802745</c:v>
                </c:pt>
                <c:pt idx="5">
                  <c:v>16.412347890167204</c:v>
                </c:pt>
                <c:pt idx="6">
                  <c:v>18.815461752457583</c:v>
                </c:pt>
                <c:pt idx="7">
                  <c:v>18.851575957234161</c:v>
                </c:pt>
                <c:pt idx="8">
                  <c:v>18.888523531303171</c:v>
                </c:pt>
                <c:pt idx="9">
                  <c:v>18.92633488162814</c:v>
                </c:pt>
                <c:pt idx="10">
                  <c:v>18.965041910336673</c:v>
                </c:pt>
                <c:pt idx="11">
                  <c:v>19.0046781077967</c:v>
                </c:pt>
                <c:pt idx="12">
                  <c:v>14.241755760233357</c:v>
                </c:pt>
                <c:pt idx="13">
                  <c:v>14.258007241839023</c:v>
                </c:pt>
                <c:pt idx="14">
                  <c:v>14.274033809731257</c:v>
                </c:pt>
                <c:pt idx="15">
                  <c:v>14.289840603229429</c:v>
                </c:pt>
                <c:pt idx="16">
                  <c:v>14.30543260778391</c:v>
                </c:pt>
                <c:pt idx="17">
                  <c:v>14.320814660707422</c:v>
                </c:pt>
                <c:pt idx="18">
                  <c:v>15.802214807277883</c:v>
                </c:pt>
                <c:pt idx="19">
                  <c:v>15.806368019582628</c:v>
                </c:pt>
                <c:pt idx="20">
                  <c:v>15.810514803274438</c:v>
                </c:pt>
                <c:pt idx="21">
                  <c:v>15.814655305660617</c:v>
                </c:pt>
                <c:pt idx="22">
                  <c:v>15.818789673201126</c:v>
                </c:pt>
                <c:pt idx="23">
                  <c:v>15.822918051530177</c:v>
                </c:pt>
                <c:pt idx="24">
                  <c:v>16.781152289236648</c:v>
                </c:pt>
                <c:pt idx="25">
                  <c:v>16.787613307448034</c:v>
                </c:pt>
                <c:pt idx="26">
                  <c:v>16.794115164810449</c:v>
                </c:pt>
                <c:pt idx="27">
                  <c:v>16.800658459807128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608-4942-AD19-4B2D2382BC46}"/>
            </c:ext>
          </c:extLst>
        </c:ser>
        <c:ser>
          <c:idx val="9"/>
          <c:order val="9"/>
          <c:tx>
            <c:strRef>
              <c:f>'2.6 Метод целевой фн Вар11 1'!$K$16</c:f>
              <c:strCache>
                <c:ptCount val="1"/>
                <c:pt idx="0">
                  <c:v>4,50000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/>
            <a:effectLst/>
            <a:sp3d/>
          </c:spPr>
          <c:cat>
            <c:numRef>
              <c:f>'2.6 Метод целевой фн Вар11 1'!$A$17:$A$44</c:f>
              <c:numCache>
                <c:formatCode>General</c:formatCode>
                <c:ptCount val="28"/>
                <c:pt idx="0">
                  <c:v>6.7776395278265039E-2</c:v>
                </c:pt>
                <c:pt idx="1">
                  <c:v>6.877639527826504E-2</c:v>
                </c:pt>
                <c:pt idx="2">
                  <c:v>6.9776395278265041E-2</c:v>
                </c:pt>
                <c:pt idx="3">
                  <c:v>7.0776395278265042E-2</c:v>
                </c:pt>
                <c:pt idx="4">
                  <c:v>7.1776395278265043E-2</c:v>
                </c:pt>
                <c:pt idx="5">
                  <c:v>7.2776395278265044E-2</c:v>
                </c:pt>
                <c:pt idx="6">
                  <c:v>1.06777639527827</c:v>
                </c:pt>
                <c:pt idx="7">
                  <c:v>1.0687763952782698</c:v>
                </c:pt>
                <c:pt idx="8">
                  <c:v>1.0697763952782697</c:v>
                </c:pt>
                <c:pt idx="9">
                  <c:v>1.0707763952782696</c:v>
                </c:pt>
                <c:pt idx="10">
                  <c:v>1.0717763952782695</c:v>
                </c:pt>
                <c:pt idx="11">
                  <c:v>1.0727763952782694</c:v>
                </c:pt>
                <c:pt idx="12">
                  <c:v>2.06777639527827</c:v>
                </c:pt>
                <c:pt idx="13">
                  <c:v>2.0687763952782698</c:v>
                </c:pt>
                <c:pt idx="14">
                  <c:v>2.0697763952782697</c:v>
                </c:pt>
                <c:pt idx="15">
                  <c:v>2.0707763952782696</c:v>
                </c:pt>
                <c:pt idx="16">
                  <c:v>2.0717763952782695</c:v>
                </c:pt>
                <c:pt idx="17">
                  <c:v>2.0727763952782694</c:v>
                </c:pt>
                <c:pt idx="18">
                  <c:v>3.06777639527827</c:v>
                </c:pt>
                <c:pt idx="19">
                  <c:v>3.0687763952782698</c:v>
                </c:pt>
                <c:pt idx="20">
                  <c:v>3.0697763952782697</c:v>
                </c:pt>
                <c:pt idx="21">
                  <c:v>3.0707763952782696</c:v>
                </c:pt>
                <c:pt idx="22">
                  <c:v>3.0717763952782695</c:v>
                </c:pt>
                <c:pt idx="23">
                  <c:v>3.0727763952782694</c:v>
                </c:pt>
                <c:pt idx="24">
                  <c:v>4.0677763952782602</c:v>
                </c:pt>
                <c:pt idx="25">
                  <c:v>4.0687763952782605</c:v>
                </c:pt>
                <c:pt idx="26">
                  <c:v>4.0697763952782608</c:v>
                </c:pt>
                <c:pt idx="27">
                  <c:v>4.0707763952782612</c:v>
                </c:pt>
              </c:numCache>
            </c:numRef>
          </c:cat>
          <c:val>
            <c:numRef>
              <c:f>'2.6 Метод целевой фн Вар11 1'!$K$17:$K$44</c:f>
              <c:numCache>
                <c:formatCode>0.00</c:formatCode>
                <c:ptCount val="28"/>
                <c:pt idx="0">
                  <c:v>20.678692159626525</c:v>
                </c:pt>
                <c:pt idx="1">
                  <c:v>20.68402948832766</c:v>
                </c:pt>
                <c:pt idx="2">
                  <c:v>20.689387706993081</c:v>
                </c:pt>
                <c:pt idx="3">
                  <c:v>20.694767156799688</c:v>
                </c:pt>
                <c:pt idx="4">
                  <c:v>20.700168183360145</c:v>
                </c:pt>
                <c:pt idx="5">
                  <c:v>20.705591136820008</c:v>
                </c:pt>
                <c:pt idx="6">
                  <c:v>15.122382295199294</c:v>
                </c:pt>
                <c:pt idx="7">
                  <c:v>15.242429194752599</c:v>
                </c:pt>
                <c:pt idx="8">
                  <c:v>15.357184998364794</c:v>
                </c:pt>
                <c:pt idx="9">
                  <c:v>15.466996324212195</c:v>
                </c:pt>
                <c:pt idx="10">
                  <c:v>15.572180166760846</c:v>
                </c:pt>
                <c:pt idx="11">
                  <c:v>15.673026995414567</c:v>
                </c:pt>
                <c:pt idx="12">
                  <c:v>20.230213236310963</c:v>
                </c:pt>
                <c:pt idx="13">
                  <c:v>20.234714627711618</c:v>
                </c:pt>
                <c:pt idx="14">
                  <c:v>20.239215399901692</c:v>
                </c:pt>
                <c:pt idx="15">
                  <c:v>20.243715735258768</c:v>
                </c:pt>
                <c:pt idx="16">
                  <c:v>20.248215816089633</c:v>
                </c:pt>
                <c:pt idx="17">
                  <c:v>20.252715824659841</c:v>
                </c:pt>
                <c:pt idx="18">
                  <c:v>24.479459426172255</c:v>
                </c:pt>
                <c:pt idx="19">
                  <c:v>24.566106600905513</c:v>
                </c:pt>
                <c:pt idx="20">
                  <c:v>24.656186272391992</c:v>
                </c:pt>
                <c:pt idx="21">
                  <c:v>24.749910400481902</c:v>
                </c:pt>
                <c:pt idx="22">
                  <c:v>24.847508757913904</c:v>
                </c:pt>
                <c:pt idx="23">
                  <c:v>24.949230841817069</c:v>
                </c:pt>
                <c:pt idx="24">
                  <c:v>19.773634167902397</c:v>
                </c:pt>
                <c:pt idx="25">
                  <c:v>19.779143554741363</c:v>
                </c:pt>
                <c:pt idx="26">
                  <c:v>19.784629643615325</c:v>
                </c:pt>
                <c:pt idx="27">
                  <c:v>19.790092802784923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608-4942-AD19-4B2D2382BC46}"/>
            </c:ext>
          </c:extLst>
        </c:ser>
        <c:ser>
          <c:idx val="10"/>
          <c:order val="10"/>
          <c:tx>
            <c:strRef>
              <c:f>'2.6 Метод целевой фн Вар11 1'!$L$16</c:f>
              <c:strCache>
                <c:ptCount val="1"/>
                <c:pt idx="0">
                  <c:v>5,00000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/>
            <a:effectLst/>
            <a:sp3d/>
          </c:spPr>
          <c:cat>
            <c:numRef>
              <c:f>'2.6 Метод целевой фн Вар11 1'!$A$17:$A$44</c:f>
              <c:numCache>
                <c:formatCode>General</c:formatCode>
                <c:ptCount val="28"/>
                <c:pt idx="0">
                  <c:v>6.7776395278265039E-2</c:v>
                </c:pt>
                <c:pt idx="1">
                  <c:v>6.877639527826504E-2</c:v>
                </c:pt>
                <c:pt idx="2">
                  <c:v>6.9776395278265041E-2</c:v>
                </c:pt>
                <c:pt idx="3">
                  <c:v>7.0776395278265042E-2</c:v>
                </c:pt>
                <c:pt idx="4">
                  <c:v>7.1776395278265043E-2</c:v>
                </c:pt>
                <c:pt idx="5">
                  <c:v>7.2776395278265044E-2</c:v>
                </c:pt>
                <c:pt idx="6">
                  <c:v>1.06777639527827</c:v>
                </c:pt>
                <c:pt idx="7">
                  <c:v>1.0687763952782698</c:v>
                </c:pt>
                <c:pt idx="8">
                  <c:v>1.0697763952782697</c:v>
                </c:pt>
                <c:pt idx="9">
                  <c:v>1.0707763952782696</c:v>
                </c:pt>
                <c:pt idx="10">
                  <c:v>1.0717763952782695</c:v>
                </c:pt>
                <c:pt idx="11">
                  <c:v>1.0727763952782694</c:v>
                </c:pt>
                <c:pt idx="12">
                  <c:v>2.06777639527827</c:v>
                </c:pt>
                <c:pt idx="13">
                  <c:v>2.0687763952782698</c:v>
                </c:pt>
                <c:pt idx="14">
                  <c:v>2.0697763952782697</c:v>
                </c:pt>
                <c:pt idx="15">
                  <c:v>2.0707763952782696</c:v>
                </c:pt>
                <c:pt idx="16">
                  <c:v>2.0717763952782695</c:v>
                </c:pt>
                <c:pt idx="17">
                  <c:v>2.0727763952782694</c:v>
                </c:pt>
                <c:pt idx="18">
                  <c:v>3.06777639527827</c:v>
                </c:pt>
                <c:pt idx="19">
                  <c:v>3.0687763952782698</c:v>
                </c:pt>
                <c:pt idx="20">
                  <c:v>3.0697763952782697</c:v>
                </c:pt>
                <c:pt idx="21">
                  <c:v>3.0707763952782696</c:v>
                </c:pt>
                <c:pt idx="22">
                  <c:v>3.0717763952782695</c:v>
                </c:pt>
                <c:pt idx="23">
                  <c:v>3.0727763952782694</c:v>
                </c:pt>
                <c:pt idx="24">
                  <c:v>4.0677763952782602</c:v>
                </c:pt>
                <c:pt idx="25">
                  <c:v>4.0687763952782605</c:v>
                </c:pt>
                <c:pt idx="26">
                  <c:v>4.0697763952782608</c:v>
                </c:pt>
                <c:pt idx="27">
                  <c:v>4.0707763952782612</c:v>
                </c:pt>
              </c:numCache>
            </c:numRef>
          </c:cat>
          <c:val>
            <c:numRef>
              <c:f>'2.6 Метод целевой фн Вар11 1'!$L$17:$L$44</c:f>
              <c:numCache>
                <c:formatCode>0.00</c:formatCode>
                <c:ptCount val="28"/>
                <c:pt idx="0">
                  <c:v>25.469415429225656</c:v>
                </c:pt>
                <c:pt idx="1">
                  <c:v>25.475531589519768</c:v>
                </c:pt>
                <c:pt idx="2">
                  <c:v>25.481676903648939</c:v>
                </c:pt>
                <c:pt idx="3">
                  <c:v>25.487851890046429</c:v>
                </c:pt>
                <c:pt idx="4">
                  <c:v>25.494057075145896</c:v>
                </c:pt>
                <c:pt idx="5">
                  <c:v>25.500292993577585</c:v>
                </c:pt>
                <c:pt idx="6">
                  <c:v>23.874661584109852</c:v>
                </c:pt>
                <c:pt idx="7">
                  <c:v>23.885930205702714</c:v>
                </c:pt>
                <c:pt idx="8">
                  <c:v>23.897073981381105</c:v>
                </c:pt>
                <c:pt idx="9">
                  <c:v>23.908095522517737</c:v>
                </c:pt>
                <c:pt idx="10">
                  <c:v>23.918997371418222</c:v>
                </c:pt>
                <c:pt idx="11">
                  <c:v>23.929782003626485</c:v>
                </c:pt>
                <c:pt idx="12">
                  <c:v>26.606809720968414</c:v>
                </c:pt>
                <c:pt idx="13">
                  <c:v>26.624864108647031</c:v>
                </c:pt>
                <c:pt idx="14">
                  <c:v>26.643214260942329</c:v>
                </c:pt>
                <c:pt idx="15">
                  <c:v>26.66186844604589</c:v>
                </c:pt>
                <c:pt idx="16">
                  <c:v>26.680835239339064</c:v>
                </c:pt>
                <c:pt idx="17">
                  <c:v>26.700123537843332</c:v>
                </c:pt>
                <c:pt idx="18">
                  <c:v>24.724230689960226</c:v>
                </c:pt>
                <c:pt idx="19">
                  <c:v>24.729603569919107</c:v>
                </c:pt>
                <c:pt idx="20">
                  <c:v>24.73496194129682</c:v>
                </c:pt>
                <c:pt idx="21">
                  <c:v>24.740306129628099</c:v>
                </c:pt>
                <c:pt idx="22">
                  <c:v>24.745636457311981</c:v>
                </c:pt>
                <c:pt idx="23">
                  <c:v>24.750953243694749</c:v>
                </c:pt>
                <c:pt idx="24">
                  <c:v>-28.961156040477974</c:v>
                </c:pt>
                <c:pt idx="25">
                  <c:v>-17.491585171360377</c:v>
                </c:pt>
                <c:pt idx="26">
                  <c:v>-10.041647369672091</c:v>
                </c:pt>
                <c:pt idx="27">
                  <c:v>-4.8131026483876056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608-4942-AD19-4B2D2382BC46}"/>
            </c:ext>
          </c:extLst>
        </c:ser>
        <c:ser>
          <c:idx val="11"/>
          <c:order val="11"/>
          <c:tx>
            <c:strRef>
              <c:f>'2.6 Метод целевой фн Вар11 1'!$M$16</c:f>
              <c:strCache>
                <c:ptCount val="1"/>
                <c:pt idx="0">
                  <c:v>5,50000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/>
            <a:effectLst/>
            <a:sp3d/>
          </c:spPr>
          <c:cat>
            <c:numRef>
              <c:f>'2.6 Метод целевой фн Вар11 1'!$A$17:$A$44</c:f>
              <c:numCache>
                <c:formatCode>General</c:formatCode>
                <c:ptCount val="28"/>
                <c:pt idx="0">
                  <c:v>6.7776395278265039E-2</c:v>
                </c:pt>
                <c:pt idx="1">
                  <c:v>6.877639527826504E-2</c:v>
                </c:pt>
                <c:pt idx="2">
                  <c:v>6.9776395278265041E-2</c:v>
                </c:pt>
                <c:pt idx="3">
                  <c:v>7.0776395278265042E-2</c:v>
                </c:pt>
                <c:pt idx="4">
                  <c:v>7.1776395278265043E-2</c:v>
                </c:pt>
                <c:pt idx="5">
                  <c:v>7.2776395278265044E-2</c:v>
                </c:pt>
                <c:pt idx="6">
                  <c:v>1.06777639527827</c:v>
                </c:pt>
                <c:pt idx="7">
                  <c:v>1.0687763952782698</c:v>
                </c:pt>
                <c:pt idx="8">
                  <c:v>1.0697763952782697</c:v>
                </c:pt>
                <c:pt idx="9">
                  <c:v>1.0707763952782696</c:v>
                </c:pt>
                <c:pt idx="10">
                  <c:v>1.0717763952782695</c:v>
                </c:pt>
                <c:pt idx="11">
                  <c:v>1.0727763952782694</c:v>
                </c:pt>
                <c:pt idx="12">
                  <c:v>2.06777639527827</c:v>
                </c:pt>
                <c:pt idx="13">
                  <c:v>2.0687763952782698</c:v>
                </c:pt>
                <c:pt idx="14">
                  <c:v>2.0697763952782697</c:v>
                </c:pt>
                <c:pt idx="15">
                  <c:v>2.0707763952782696</c:v>
                </c:pt>
                <c:pt idx="16">
                  <c:v>2.0717763952782695</c:v>
                </c:pt>
                <c:pt idx="17">
                  <c:v>2.0727763952782694</c:v>
                </c:pt>
                <c:pt idx="18">
                  <c:v>3.06777639527827</c:v>
                </c:pt>
                <c:pt idx="19">
                  <c:v>3.0687763952782698</c:v>
                </c:pt>
                <c:pt idx="20">
                  <c:v>3.0697763952782697</c:v>
                </c:pt>
                <c:pt idx="21">
                  <c:v>3.0707763952782696</c:v>
                </c:pt>
                <c:pt idx="22">
                  <c:v>3.0717763952782695</c:v>
                </c:pt>
                <c:pt idx="23">
                  <c:v>3.0727763952782694</c:v>
                </c:pt>
                <c:pt idx="24">
                  <c:v>4.0677763952782602</c:v>
                </c:pt>
                <c:pt idx="25">
                  <c:v>4.0687763952782605</c:v>
                </c:pt>
                <c:pt idx="26">
                  <c:v>4.0697763952782608</c:v>
                </c:pt>
                <c:pt idx="27">
                  <c:v>4.0707763952782612</c:v>
                </c:pt>
              </c:numCache>
            </c:numRef>
          </c:cat>
          <c:val>
            <c:numRef>
              <c:f>'2.6 Метод целевой фн Вар11 1'!$M$17:$M$44</c:f>
              <c:numCache>
                <c:formatCode>0.00</c:formatCode>
                <c:ptCount val="28"/>
                <c:pt idx="0">
                  <c:v>30.761455777112477</c:v>
                </c:pt>
                <c:pt idx="1">
                  <c:v>30.768414149791372</c:v>
                </c:pt>
                <c:pt idx="2">
                  <c:v>30.775412316843759</c:v>
                </c:pt>
                <c:pt idx="3">
                  <c:v>30.782451047679892</c:v>
                </c:pt>
                <c:pt idx="4">
                  <c:v>30.789531125592749</c:v>
                </c:pt>
                <c:pt idx="5">
                  <c:v>30.796653348137902</c:v>
                </c:pt>
                <c:pt idx="6">
                  <c:v>29.929214704178069</c:v>
                </c:pt>
                <c:pt idx="7">
                  <c:v>29.935270049308105</c:v>
                </c:pt>
                <c:pt idx="8">
                  <c:v>29.941304466670179</c:v>
                </c:pt>
                <c:pt idx="9">
                  <c:v>29.94731842778258</c:v>
                </c:pt>
                <c:pt idx="10">
                  <c:v>29.953312398505137</c:v>
                </c:pt>
                <c:pt idx="11">
                  <c:v>29.959286839194746</c:v>
                </c:pt>
                <c:pt idx="12">
                  <c:v>28.315958183503497</c:v>
                </c:pt>
                <c:pt idx="13">
                  <c:v>28.341756864748621</c:v>
                </c:pt>
                <c:pt idx="14">
                  <c:v>28.367019633452578</c:v>
                </c:pt>
                <c:pt idx="15">
                  <c:v>28.391764498277695</c:v>
                </c:pt>
                <c:pt idx="16">
                  <c:v>28.416008675579199</c:v>
                </c:pt>
                <c:pt idx="17">
                  <c:v>28.439768632585924</c:v>
                </c:pt>
                <c:pt idx="18">
                  <c:v>33.415447980082845</c:v>
                </c:pt>
                <c:pt idx="19">
                  <c:v>33.477132868788686</c:v>
                </c:pt>
                <c:pt idx="20">
                  <c:v>33.541047067155482</c:v>
                </c:pt>
                <c:pt idx="21">
                  <c:v>33.6073177341395</c:v>
                </c:pt>
                <c:pt idx="22">
                  <c:v>33.676081877464739</c:v>
                </c:pt>
                <c:pt idx="23">
                  <c:v>33.747487326167757</c:v>
                </c:pt>
                <c:pt idx="24">
                  <c:v>30.772673697521572</c:v>
                </c:pt>
                <c:pt idx="25">
                  <c:v>30.779696489660353</c:v>
                </c:pt>
                <c:pt idx="26">
                  <c:v>30.786760321206092</c:v>
                </c:pt>
                <c:pt idx="27">
                  <c:v>30.793865984096751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4608-4942-AD19-4B2D2382BC46}"/>
            </c:ext>
          </c:extLst>
        </c:ser>
        <c:ser>
          <c:idx val="12"/>
          <c:order val="12"/>
          <c:tx>
            <c:strRef>
              <c:f>'2.6 Метод целевой фн Вар11 1'!$N$16</c:f>
              <c:strCache>
                <c:ptCount val="1"/>
                <c:pt idx="0">
                  <c:v>6,00000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/>
            <a:effectLst/>
            <a:sp3d/>
          </c:spPr>
          <c:cat>
            <c:numRef>
              <c:f>'2.6 Метод целевой фн Вар11 1'!$A$17:$A$44</c:f>
              <c:numCache>
                <c:formatCode>General</c:formatCode>
                <c:ptCount val="28"/>
                <c:pt idx="0">
                  <c:v>6.7776395278265039E-2</c:v>
                </c:pt>
                <c:pt idx="1">
                  <c:v>6.877639527826504E-2</c:v>
                </c:pt>
                <c:pt idx="2">
                  <c:v>6.9776395278265041E-2</c:v>
                </c:pt>
                <c:pt idx="3">
                  <c:v>7.0776395278265042E-2</c:v>
                </c:pt>
                <c:pt idx="4">
                  <c:v>7.1776395278265043E-2</c:v>
                </c:pt>
                <c:pt idx="5">
                  <c:v>7.2776395278265044E-2</c:v>
                </c:pt>
                <c:pt idx="6">
                  <c:v>1.06777639527827</c:v>
                </c:pt>
                <c:pt idx="7">
                  <c:v>1.0687763952782698</c:v>
                </c:pt>
                <c:pt idx="8">
                  <c:v>1.0697763952782697</c:v>
                </c:pt>
                <c:pt idx="9">
                  <c:v>1.0707763952782696</c:v>
                </c:pt>
                <c:pt idx="10">
                  <c:v>1.0717763952782695</c:v>
                </c:pt>
                <c:pt idx="11">
                  <c:v>1.0727763952782694</c:v>
                </c:pt>
                <c:pt idx="12">
                  <c:v>2.06777639527827</c:v>
                </c:pt>
                <c:pt idx="13">
                  <c:v>2.0687763952782698</c:v>
                </c:pt>
                <c:pt idx="14">
                  <c:v>2.0697763952782697</c:v>
                </c:pt>
                <c:pt idx="15">
                  <c:v>2.0707763952782696</c:v>
                </c:pt>
                <c:pt idx="16">
                  <c:v>2.0717763952782695</c:v>
                </c:pt>
                <c:pt idx="17">
                  <c:v>2.0727763952782694</c:v>
                </c:pt>
                <c:pt idx="18">
                  <c:v>3.06777639527827</c:v>
                </c:pt>
                <c:pt idx="19">
                  <c:v>3.0687763952782698</c:v>
                </c:pt>
                <c:pt idx="20">
                  <c:v>3.0697763952782697</c:v>
                </c:pt>
                <c:pt idx="21">
                  <c:v>3.0707763952782696</c:v>
                </c:pt>
                <c:pt idx="22">
                  <c:v>3.0717763952782695</c:v>
                </c:pt>
                <c:pt idx="23">
                  <c:v>3.0727763952782694</c:v>
                </c:pt>
                <c:pt idx="24">
                  <c:v>4.0677763952782602</c:v>
                </c:pt>
                <c:pt idx="25">
                  <c:v>4.0687763952782605</c:v>
                </c:pt>
                <c:pt idx="26">
                  <c:v>4.0697763952782608</c:v>
                </c:pt>
                <c:pt idx="27">
                  <c:v>4.0707763952782612</c:v>
                </c:pt>
              </c:numCache>
            </c:numRef>
          </c:cat>
          <c:val>
            <c:numRef>
              <c:f>'2.6 Метод целевой фн Вар11 1'!$N$17:$N$44</c:f>
              <c:numCache>
                <c:formatCode>0.00</c:formatCode>
                <c:ptCount val="28"/>
                <c:pt idx="0">
                  <c:v>36.554979720164901</c:v>
                </c:pt>
                <c:pt idx="1">
                  <c:v>36.562854050156588</c:v>
                </c:pt>
                <c:pt idx="2">
                  <c:v>36.570781746194776</c:v>
                </c:pt>
                <c:pt idx="3">
                  <c:v>36.578763929298397</c:v>
                </c:pt>
                <c:pt idx="4">
                  <c:v>36.586801743850344</c:v>
                </c:pt>
                <c:pt idx="5">
                  <c:v>36.594896358308745</c:v>
                </c:pt>
                <c:pt idx="6">
                  <c:v>36.22726900794688</c:v>
                </c:pt>
                <c:pt idx="7">
                  <c:v>36.233587607112675</c:v>
                </c:pt>
                <c:pt idx="8">
                  <c:v>36.239923942706881</c:v>
                </c:pt>
                <c:pt idx="9">
                  <c:v>36.24627854768331</c:v>
                </c:pt>
                <c:pt idx="10">
                  <c:v>36.252651960712171</c:v>
                </c:pt>
                <c:pt idx="11">
                  <c:v>36.259044726373723</c:v>
                </c:pt>
                <c:pt idx="12">
                  <c:v>35.940216686912649</c:v>
                </c:pt>
                <c:pt idx="13">
                  <c:v>35.946236044269504</c:v>
                </c:pt>
                <c:pt idx="14">
                  <c:v>35.952251519338581</c:v>
                </c:pt>
                <c:pt idx="15">
                  <c:v>35.958263548595959</c:v>
                </c:pt>
                <c:pt idx="16">
                  <c:v>35.964272567521853</c:v>
                </c:pt>
                <c:pt idx="17">
                  <c:v>35.970279010727168</c:v>
                </c:pt>
                <c:pt idx="18">
                  <c:v>35.642999648220673</c:v>
                </c:pt>
                <c:pt idx="19">
                  <c:v>35.649749965537751</c:v>
                </c:pt>
                <c:pt idx="20">
                  <c:v>35.656471970427184</c:v>
                </c:pt>
                <c:pt idx="21">
                  <c:v>35.663166321618561</c:v>
                </c:pt>
                <c:pt idx="22">
                  <c:v>35.669833668466481</c:v>
                </c:pt>
                <c:pt idx="23">
                  <c:v>35.676474651223849</c:v>
                </c:pt>
                <c:pt idx="24">
                  <c:v>35.276867743746585</c:v>
                </c:pt>
                <c:pt idx="25">
                  <c:v>35.285965899465687</c:v>
                </c:pt>
                <c:pt idx="26">
                  <c:v>35.294986430093829</c:v>
                </c:pt>
                <c:pt idx="27">
                  <c:v>35.303930966115402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608-4942-AD19-4B2D2382BC46}"/>
            </c:ext>
          </c:extLst>
        </c:ser>
        <c:ser>
          <c:idx val="13"/>
          <c:order val="13"/>
          <c:tx>
            <c:strRef>
              <c:f>'2.6 Метод целевой фн Вар11 1'!$O$16</c:f>
              <c:strCache>
                <c:ptCount val="1"/>
                <c:pt idx="0">
                  <c:v>6,50000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/>
            <a:effectLst/>
            <a:sp3d/>
          </c:spPr>
          <c:cat>
            <c:numRef>
              <c:f>'2.6 Метод целевой фн Вар11 1'!$A$17:$A$44</c:f>
              <c:numCache>
                <c:formatCode>General</c:formatCode>
                <c:ptCount val="28"/>
                <c:pt idx="0">
                  <c:v>6.7776395278265039E-2</c:v>
                </c:pt>
                <c:pt idx="1">
                  <c:v>6.877639527826504E-2</c:v>
                </c:pt>
                <c:pt idx="2">
                  <c:v>6.9776395278265041E-2</c:v>
                </c:pt>
                <c:pt idx="3">
                  <c:v>7.0776395278265042E-2</c:v>
                </c:pt>
                <c:pt idx="4">
                  <c:v>7.1776395278265043E-2</c:v>
                </c:pt>
                <c:pt idx="5">
                  <c:v>7.2776395278265044E-2</c:v>
                </c:pt>
                <c:pt idx="6">
                  <c:v>1.06777639527827</c:v>
                </c:pt>
                <c:pt idx="7">
                  <c:v>1.0687763952782698</c:v>
                </c:pt>
                <c:pt idx="8">
                  <c:v>1.0697763952782697</c:v>
                </c:pt>
                <c:pt idx="9">
                  <c:v>1.0707763952782696</c:v>
                </c:pt>
                <c:pt idx="10">
                  <c:v>1.0717763952782695</c:v>
                </c:pt>
                <c:pt idx="11">
                  <c:v>1.0727763952782694</c:v>
                </c:pt>
                <c:pt idx="12">
                  <c:v>2.06777639527827</c:v>
                </c:pt>
                <c:pt idx="13">
                  <c:v>2.0687763952782698</c:v>
                </c:pt>
                <c:pt idx="14">
                  <c:v>2.0697763952782697</c:v>
                </c:pt>
                <c:pt idx="15">
                  <c:v>2.0707763952782696</c:v>
                </c:pt>
                <c:pt idx="16">
                  <c:v>2.0717763952782695</c:v>
                </c:pt>
                <c:pt idx="17">
                  <c:v>2.0727763952782694</c:v>
                </c:pt>
                <c:pt idx="18">
                  <c:v>3.06777639527827</c:v>
                </c:pt>
                <c:pt idx="19">
                  <c:v>3.0687763952782698</c:v>
                </c:pt>
                <c:pt idx="20">
                  <c:v>3.0697763952782697</c:v>
                </c:pt>
                <c:pt idx="21">
                  <c:v>3.0707763952782696</c:v>
                </c:pt>
                <c:pt idx="22">
                  <c:v>3.0717763952782695</c:v>
                </c:pt>
                <c:pt idx="23">
                  <c:v>3.0727763952782694</c:v>
                </c:pt>
                <c:pt idx="24">
                  <c:v>4.0677763952782602</c:v>
                </c:pt>
                <c:pt idx="25">
                  <c:v>4.0687763952782605</c:v>
                </c:pt>
                <c:pt idx="26">
                  <c:v>4.0697763952782608</c:v>
                </c:pt>
                <c:pt idx="27">
                  <c:v>4.0707763952782612</c:v>
                </c:pt>
              </c:numCache>
            </c:numRef>
          </c:cat>
          <c:val>
            <c:numRef>
              <c:f>'2.6 Метод целевой фн Вар11 1'!$O$17:$O$44</c:f>
              <c:numCache>
                <c:formatCode>0.00</c:formatCode>
                <c:ptCount val="28"/>
                <c:pt idx="0">
                  <c:v>42.850172827069379</c:v>
                </c:pt>
                <c:pt idx="1">
                  <c:v>42.859048927081339</c:v>
                </c:pt>
                <c:pt idx="2">
                  <c:v>42.867995585142936</c:v>
                </c:pt>
                <c:pt idx="3">
                  <c:v>42.877014411054468</c:v>
                </c:pt>
                <c:pt idx="4">
                  <c:v>42.886107052989317</c:v>
                </c:pt>
                <c:pt idx="5">
                  <c:v>42.895275198790692</c:v>
                </c:pt>
                <c:pt idx="6">
                  <c:v>43.19544155101454</c:v>
                </c:pt>
                <c:pt idx="7">
                  <c:v>43.207827932576741</c:v>
                </c:pt>
                <c:pt idx="8">
                  <c:v>43.220369514875266</c:v>
                </c:pt>
                <c:pt idx="9">
                  <c:v>43.233070313254593</c:v>
                </c:pt>
                <c:pt idx="10">
                  <c:v>43.245934472918123</c:v>
                </c:pt>
                <c:pt idx="11">
                  <c:v>43.258966274365079</c:v>
                </c:pt>
                <c:pt idx="12">
                  <c:v>43.72234900334351</c:v>
                </c:pt>
                <c:pt idx="13">
                  <c:v>43.743139037668087</c:v>
                </c:pt>
                <c:pt idx="14">
                  <c:v>43.764336584155849</c:v>
                </c:pt>
                <c:pt idx="15">
                  <c:v>43.785955587924157</c:v>
                </c:pt>
                <c:pt idx="16">
                  <c:v>43.808010626867983</c:v>
                </c:pt>
                <c:pt idx="17">
                  <c:v>43.830516948140357</c:v>
                </c:pt>
                <c:pt idx="18">
                  <c:v>44.755088976557332</c:v>
                </c:pt>
                <c:pt idx="19">
                  <c:v>44.80316300687705</c:v>
                </c:pt>
                <c:pt idx="20">
                  <c:v>44.852859618559265</c:v>
                </c:pt>
                <c:pt idx="21">
                  <c:v>44.904266787492901</c:v>
                </c:pt>
                <c:pt idx="22">
                  <c:v>44.957478951379791</c:v>
                </c:pt>
                <c:pt idx="23">
                  <c:v>45.012597614435883</c:v>
                </c:pt>
                <c:pt idx="24">
                  <c:v>48.3308818080897</c:v>
                </c:pt>
                <c:pt idx="25">
                  <c:v>48.587895380389</c:v>
                </c:pt>
                <c:pt idx="26">
                  <c:v>48.866995160963135</c:v>
                </c:pt>
                <c:pt idx="27">
                  <c:v>49.171182758278512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4608-4942-AD19-4B2D2382BC46}"/>
            </c:ext>
          </c:extLst>
        </c:ser>
        <c:ser>
          <c:idx val="14"/>
          <c:order val="14"/>
          <c:tx>
            <c:strRef>
              <c:f>'2.6 Метод целевой фн Вар11 1'!$P$16</c:f>
              <c:strCache>
                <c:ptCount val="1"/>
                <c:pt idx="0">
                  <c:v>7,00000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/>
            <a:effectLst/>
            <a:sp3d/>
          </c:spPr>
          <c:cat>
            <c:numRef>
              <c:f>'2.6 Метод целевой фн Вар11 1'!$A$17:$A$44</c:f>
              <c:numCache>
                <c:formatCode>General</c:formatCode>
                <c:ptCount val="28"/>
                <c:pt idx="0">
                  <c:v>6.7776395278265039E-2</c:v>
                </c:pt>
                <c:pt idx="1">
                  <c:v>6.877639527826504E-2</c:v>
                </c:pt>
                <c:pt idx="2">
                  <c:v>6.9776395278265041E-2</c:v>
                </c:pt>
                <c:pt idx="3">
                  <c:v>7.0776395278265042E-2</c:v>
                </c:pt>
                <c:pt idx="4">
                  <c:v>7.1776395278265043E-2</c:v>
                </c:pt>
                <c:pt idx="5">
                  <c:v>7.2776395278265044E-2</c:v>
                </c:pt>
                <c:pt idx="6">
                  <c:v>1.06777639527827</c:v>
                </c:pt>
                <c:pt idx="7">
                  <c:v>1.0687763952782698</c:v>
                </c:pt>
                <c:pt idx="8">
                  <c:v>1.0697763952782697</c:v>
                </c:pt>
                <c:pt idx="9">
                  <c:v>1.0707763952782696</c:v>
                </c:pt>
                <c:pt idx="10">
                  <c:v>1.0717763952782695</c:v>
                </c:pt>
                <c:pt idx="11">
                  <c:v>1.0727763952782694</c:v>
                </c:pt>
                <c:pt idx="12">
                  <c:v>2.06777639527827</c:v>
                </c:pt>
                <c:pt idx="13">
                  <c:v>2.0687763952782698</c:v>
                </c:pt>
                <c:pt idx="14">
                  <c:v>2.0697763952782697</c:v>
                </c:pt>
                <c:pt idx="15">
                  <c:v>2.0707763952782696</c:v>
                </c:pt>
                <c:pt idx="16">
                  <c:v>2.0717763952782695</c:v>
                </c:pt>
                <c:pt idx="17">
                  <c:v>2.0727763952782694</c:v>
                </c:pt>
                <c:pt idx="18">
                  <c:v>3.06777639527827</c:v>
                </c:pt>
                <c:pt idx="19">
                  <c:v>3.0687763952782698</c:v>
                </c:pt>
                <c:pt idx="20">
                  <c:v>3.0697763952782697</c:v>
                </c:pt>
                <c:pt idx="21">
                  <c:v>3.0707763952782696</c:v>
                </c:pt>
                <c:pt idx="22">
                  <c:v>3.0717763952782695</c:v>
                </c:pt>
                <c:pt idx="23">
                  <c:v>3.0727763952782694</c:v>
                </c:pt>
                <c:pt idx="24">
                  <c:v>4.0677763952782602</c:v>
                </c:pt>
                <c:pt idx="25">
                  <c:v>4.0687763952782605</c:v>
                </c:pt>
                <c:pt idx="26">
                  <c:v>4.0697763952782608</c:v>
                </c:pt>
                <c:pt idx="27">
                  <c:v>4.0707763952782612</c:v>
                </c:pt>
              </c:numCache>
            </c:numRef>
          </c:cat>
          <c:val>
            <c:numRef>
              <c:f>'2.6 Метод целевой фн Вар11 1'!$P$17:$P$44</c:f>
              <c:numCache>
                <c:formatCode>0.00</c:formatCode>
                <c:ptCount val="28"/>
                <c:pt idx="0">
                  <c:v>49.647243178397162</c:v>
                </c:pt>
                <c:pt idx="1">
                  <c:v>49.657221014095519</c:v>
                </c:pt>
                <c:pt idx="2">
                  <c:v>49.667291082627997</c:v>
                </c:pt>
                <c:pt idx="3">
                  <c:v>49.677455669540244</c:v>
                </c:pt>
                <c:pt idx="4">
                  <c:v>49.687717122188786</c:v>
                </c:pt>
                <c:pt idx="5">
                  <c:v>49.698077852054944</c:v>
                </c:pt>
                <c:pt idx="6">
                  <c:v>52.483546309296564</c:v>
                </c:pt>
                <c:pt idx="7">
                  <c:v>52.57779166940005</c:v>
                </c:pt>
                <c:pt idx="8">
                  <c:v>52.676879038177645</c:v>
                </c:pt>
                <c:pt idx="9">
                  <c:v>52.781201896058356</c:v>
                </c:pt>
                <c:pt idx="10">
                  <c:v>52.891197516654735</c:v>
                </c:pt>
                <c:pt idx="11">
                  <c:v>53.007353234553541</c:v>
                </c:pt>
                <c:pt idx="12">
                  <c:v>46.860720445682809</c:v>
                </c:pt>
                <c:pt idx="13">
                  <c:v>46.899180751528839</c:v>
                </c:pt>
                <c:pt idx="14">
                  <c:v>46.936526258984337</c:v>
                </c:pt>
                <c:pt idx="15">
                  <c:v>46.972808250198163</c:v>
                </c:pt>
                <c:pt idx="16">
                  <c:v>47.008074924773446</c:v>
                </c:pt>
                <c:pt idx="17">
                  <c:v>47.042371628246457</c:v>
                </c:pt>
                <c:pt idx="18">
                  <c:v>48.557363239350643</c:v>
                </c:pt>
                <c:pt idx="19">
                  <c:v>48.565709007771154</c:v>
                </c:pt>
                <c:pt idx="20">
                  <c:v>48.574004186271921</c:v>
                </c:pt>
                <c:pt idx="21">
                  <c:v>48.58225003909633</c:v>
                </c:pt>
                <c:pt idx="22">
                  <c:v>48.590447805885184</c:v>
                </c:pt>
                <c:pt idx="23">
                  <c:v>48.598598702491735</c:v>
                </c:pt>
                <c:pt idx="24">
                  <c:v>49.309446791241129</c:v>
                </c:pt>
                <c:pt idx="25">
                  <c:v>49.317133869204682</c:v>
                </c:pt>
                <c:pt idx="26">
                  <c:v>49.32485515332133</c:v>
                </c:pt>
                <c:pt idx="27">
                  <c:v>49.332611634234986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4608-4942-AD19-4B2D2382BC46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1656725199"/>
        <c:axId val="1656736015"/>
        <c:axId val="1741035727"/>
      </c:surface3DChart>
      <c:catAx>
        <c:axId val="16567251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Значения </a:t>
                </a:r>
                <a:r>
                  <a:rPr lang="en-US"/>
                  <a:t>X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56736015"/>
        <c:crosses val="autoZero"/>
        <c:auto val="1"/>
        <c:lblAlgn val="ctr"/>
        <c:lblOffset val="100"/>
        <c:noMultiLvlLbl val="0"/>
      </c:catAx>
      <c:valAx>
        <c:axId val="1656736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56725199"/>
        <c:crosses val="autoZero"/>
        <c:crossBetween val="midCat"/>
      </c:valAx>
      <c:serAx>
        <c:axId val="1741035727"/>
        <c:scaling>
          <c:orientation val="minMax"/>
        </c:scaling>
        <c:delete val="0"/>
        <c:axPos val="b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Значения </a:t>
                </a:r>
                <a:r>
                  <a:rPr lang="en-US"/>
                  <a:t>Y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56736015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50800</xdr:rowOff>
    </xdr:from>
    <xdr:to>
      <xdr:col>7</xdr:col>
      <xdr:colOff>787400</xdr:colOff>
      <xdr:row>26</xdr:row>
      <xdr:rowOff>203200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0" y="50800"/>
          <a:ext cx="6565900" cy="5867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Министерство науки и высшего образования Российской Федерации</a:t>
          </a:r>
        </a:p>
        <a:p>
          <a:pPr algn="ctr"/>
          <a:r>
            <a:rPr lang="ru-RU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Федеральное государственное бюджетное образовательное</a:t>
          </a:r>
        </a:p>
        <a:p>
          <a:pPr algn="ctr"/>
          <a:r>
            <a:rPr lang="ru-RU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учреждение высшего образования</a:t>
          </a:r>
        </a:p>
        <a:p>
          <a:pPr algn="ctr"/>
          <a:r>
            <a:rPr lang="ru-RU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ТОМСКИЙ ГОСУДАРСТВЕННЫЙ УНИВЕРСИТЕТ СИСТЕМ</a:t>
          </a:r>
        </a:p>
        <a:p>
          <a:pPr algn="ctr"/>
          <a:r>
            <a:rPr lang="ru-RU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УПРАВЛЕНИЯ И РАДИОЭЛЕКТРОНИКИ (ТУСУР)</a:t>
          </a:r>
        </a:p>
        <a:p>
          <a:pPr algn="ctr"/>
          <a:r>
            <a:rPr lang="ru-RU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pPr algn="ctr"/>
          <a:r>
            <a:rPr lang="ru-RU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pPr algn="ctr"/>
          <a:r>
            <a:rPr lang="ru-RU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Автоматизированных систем управления </a:t>
          </a:r>
        </a:p>
        <a:p>
          <a:pPr algn="ctr"/>
          <a:r>
            <a:rPr lang="ru-RU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(АСУ) </a:t>
          </a:r>
        </a:p>
        <a:p>
          <a:pPr algn="ctr"/>
          <a:r>
            <a:rPr lang="ru-RU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pPr algn="ctr"/>
          <a:r>
            <a:rPr lang="ru-RU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pPr algn="ctr"/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EXCEL</a:t>
          </a:r>
          <a:endParaRPr lang="ru-RU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ru-RU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pPr algn="ctr"/>
          <a:r>
            <a:rPr lang="ru-RU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pPr algn="ctr"/>
          <a:r>
            <a:rPr lang="ru-RU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Информатика</a:t>
          </a:r>
        </a:p>
        <a:p>
          <a:pPr algn="ctr"/>
          <a:r>
            <a:rPr lang="ru-RU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Лабораторная работа №1 </a:t>
          </a:r>
        </a:p>
        <a:p>
          <a:pPr algn="ctr"/>
          <a:r>
            <a:rPr lang="ru-RU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pPr algn="ctr"/>
          <a:r>
            <a:rPr lang="ru-RU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pPr algn="ctr"/>
          <a:r>
            <a:rPr lang="ru-RU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pPr algn="r"/>
          <a:r>
            <a:rPr lang="ru-RU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Выполнила:</a:t>
          </a:r>
        </a:p>
        <a:p>
          <a:pPr algn="r"/>
          <a:r>
            <a:rPr lang="ru-RU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Студентка гр</a:t>
          </a:r>
          <a:r>
            <a:rPr lang="ru-RU" sz="12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з-433П8-5</a:t>
          </a:r>
          <a:r>
            <a:rPr lang="ru-RU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</a:t>
          </a:r>
        </a:p>
        <a:p>
          <a:pPr algn="r"/>
          <a:r>
            <a:rPr lang="ru-RU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Медведева</a:t>
          </a:r>
          <a:r>
            <a:rPr lang="ru-RU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Ю.Е.</a:t>
          </a:r>
          <a:endParaRPr lang="ru-RU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r"/>
          <a:r>
            <a:rPr lang="ru-RU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«23» октября 2023</a:t>
          </a:r>
          <a:r>
            <a:rPr lang="ru-RU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г.</a:t>
          </a:r>
        </a:p>
        <a:p>
          <a:pPr algn="r"/>
          <a:r>
            <a:rPr lang="ru-RU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 </a:t>
          </a:r>
        </a:p>
        <a:p>
          <a:pPr algn="ctr"/>
          <a:r>
            <a:rPr lang="ru-RU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Томск 20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23</a:t>
          </a:r>
          <a:endParaRPr lang="ru-RU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6350</xdr:colOff>
      <xdr:row>1</xdr:row>
      <xdr:rowOff>12700</xdr:rowOff>
    </xdr:from>
    <xdr:to>
      <xdr:col>17</xdr:col>
      <xdr:colOff>749300</xdr:colOff>
      <xdr:row>10</xdr:row>
      <xdr:rowOff>469900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834161</xdr:colOff>
      <xdr:row>20</xdr:row>
      <xdr:rowOff>101982</xdr:rowOff>
    </xdr:from>
    <xdr:to>
      <xdr:col>6</xdr:col>
      <xdr:colOff>288638</xdr:colOff>
      <xdr:row>26</xdr:row>
      <xdr:rowOff>184726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2496706" y="4258346"/>
          <a:ext cx="2825750" cy="132965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/>
            <a:t>Выводы:</a:t>
          </a:r>
        </a:p>
        <a:p>
          <a:r>
            <a:rPr lang="ru-RU"/>
            <a:t>Уменьшение</a:t>
          </a:r>
          <a:r>
            <a:rPr lang="ru-RU" baseline="0"/>
            <a:t> шага табуляции наблюдается точность построения графиков. Пограничные точки остаются неизменными, поскольку отрезок не изменяется. </a:t>
          </a:r>
          <a:endParaRPr lang="ru-RU"/>
        </a:p>
      </xdr:txBody>
    </xdr:sp>
    <xdr:clientData/>
  </xdr:twoCellAnchor>
  <xdr:twoCellAnchor>
    <xdr:from>
      <xdr:col>7</xdr:col>
      <xdr:colOff>10584</xdr:colOff>
      <xdr:row>1</xdr:row>
      <xdr:rowOff>9525</xdr:rowOff>
    </xdr:from>
    <xdr:to>
      <xdr:col>15</xdr:col>
      <xdr:colOff>440972</xdr:colOff>
      <xdr:row>26</xdr:row>
      <xdr:rowOff>123471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781050</xdr:colOff>
      <xdr:row>2</xdr:row>
      <xdr:rowOff>158749</xdr:rowOff>
    </xdr:from>
    <xdr:to>
      <xdr:col>6</xdr:col>
      <xdr:colOff>31750</xdr:colOff>
      <xdr:row>10</xdr:row>
      <xdr:rowOff>178339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9858" r="20143" b="96"/>
        <a:stretch/>
      </xdr:blipFill>
      <xdr:spPr>
        <a:xfrm>
          <a:off x="2432050" y="560916"/>
          <a:ext cx="2595033" cy="1628256"/>
        </a:xfrm>
        <a:prstGeom prst="rect">
          <a:avLst/>
        </a:prstGeom>
      </xdr:spPr>
    </xdr:pic>
    <xdr:clientData/>
  </xdr:twoCellAnchor>
  <xdr:twoCellAnchor>
    <xdr:from>
      <xdr:col>2</xdr:col>
      <xdr:colOff>783167</xdr:colOff>
      <xdr:row>0</xdr:row>
      <xdr:rowOff>179917</xdr:rowOff>
    </xdr:from>
    <xdr:to>
      <xdr:col>4</xdr:col>
      <xdr:colOff>423333</xdr:colOff>
      <xdr:row>2</xdr:row>
      <xdr:rowOff>116416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2434167" y="179917"/>
          <a:ext cx="1312333" cy="3386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800"/>
            <a:t>Уравнение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27941</xdr:rowOff>
    </xdr:from>
    <xdr:to>
      <xdr:col>2</xdr:col>
      <xdr:colOff>252589</xdr:colOff>
      <xdr:row>2</xdr:row>
      <xdr:rowOff>141241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941"/>
          <a:ext cx="2527300" cy="519700"/>
        </a:xfrm>
        <a:prstGeom prst="rect">
          <a:avLst/>
        </a:prstGeom>
        <a:solidFill>
          <a:schemeClr val="accent2"/>
        </a:solidFill>
      </xdr:spPr>
    </xdr:pic>
    <xdr:clientData/>
  </xdr:twoCellAnchor>
  <xdr:twoCellAnchor>
    <xdr:from>
      <xdr:col>2</xdr:col>
      <xdr:colOff>827942</xdr:colOff>
      <xdr:row>11</xdr:row>
      <xdr:rowOff>4232</xdr:rowOff>
    </xdr:from>
    <xdr:to>
      <xdr:col>8</xdr:col>
      <xdr:colOff>1050193</xdr:colOff>
      <xdr:row>26</xdr:row>
      <xdr:rowOff>32562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EF7585B7-E0BA-8E44-1444-52B70216E8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15875</xdr:colOff>
      <xdr:row>0</xdr:row>
      <xdr:rowOff>55563</xdr:rowOff>
    </xdr:from>
    <xdr:to>
      <xdr:col>7</xdr:col>
      <xdr:colOff>87313</xdr:colOff>
      <xdr:row>0</xdr:row>
      <xdr:rowOff>341313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3317875" y="373063"/>
          <a:ext cx="2547938" cy="285750"/>
        </a:xfrm>
        <a:prstGeom prst="rect">
          <a:avLst/>
        </a:prstGeom>
        <a:solidFill>
          <a:schemeClr val="accent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Уравнение: </a:t>
          </a:r>
          <a:r>
            <a:rPr lang="en-GB" sz="1100"/>
            <a:t>x - sin(x) = 0,25</a:t>
          </a:r>
          <a:endParaRPr lang="ru-RU" sz="1100"/>
        </a:p>
      </xdr:txBody>
    </xdr:sp>
    <xdr:clientData/>
  </xdr:twoCellAnchor>
  <xdr:twoCellAnchor>
    <xdr:from>
      <xdr:col>3</xdr:col>
      <xdr:colOff>27781</xdr:colOff>
      <xdr:row>1</xdr:row>
      <xdr:rowOff>5557</xdr:rowOff>
    </xdr:from>
    <xdr:to>
      <xdr:col>8</xdr:col>
      <xdr:colOff>472281</xdr:colOff>
      <xdr:row>14</xdr:row>
      <xdr:rowOff>97632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23813</xdr:colOff>
      <xdr:row>0</xdr:row>
      <xdr:rowOff>539750</xdr:rowOff>
    </xdr:from>
    <xdr:to>
      <xdr:col>11</xdr:col>
      <xdr:colOff>809625</xdr:colOff>
      <xdr:row>13</xdr:row>
      <xdr:rowOff>134938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/>
      </xdr:nvSpPr>
      <xdr:spPr>
        <a:xfrm>
          <a:off x="7532688" y="539750"/>
          <a:ext cx="2436812" cy="259556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l"/>
          <a:r>
            <a:rPr lang="ru-RU" sz="1100" b="0">
              <a:latin typeface="+mn-lt"/>
            </a:rPr>
            <a:t>При </a:t>
          </a:r>
          <a:r>
            <a:rPr lang="ru-RU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х</a:t>
          </a:r>
          <a:r>
            <a:rPr lang="ru-RU" sz="1100" b="0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 </a:t>
          </a:r>
          <a:r>
            <a:rPr lang="ru-RU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равным 0 решение находится за 13 шагов. Если </a:t>
          </a:r>
          <a:r>
            <a:rPr lang="ru-RU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х</a:t>
          </a:r>
          <a:r>
            <a:rPr lang="ru-RU" sz="1100" b="0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</a:t>
          </a:r>
          <a:r>
            <a:rPr lang="ru-RU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брать в значении от -1000 до 500 (свой эксперимент я проводила в этих границах), то решение будет так же найдено, но количество шагов будет варьироваться от 8 ( </a:t>
          </a:r>
          <a:r>
            <a:rPr lang="ru-RU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х</a:t>
          </a:r>
          <a:r>
            <a:rPr lang="ru-RU" sz="1100" b="0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</a:t>
          </a:r>
          <a:r>
            <a:rPr lang="ru-RU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-200) до 16  (</a:t>
          </a:r>
          <a:r>
            <a:rPr lang="ru-RU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х</a:t>
          </a:r>
          <a:r>
            <a:rPr lang="ru-RU" sz="1100" b="0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</a:t>
          </a:r>
          <a:r>
            <a:rPr lang="ru-RU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=200</a:t>
          </a:r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; </a:t>
          </a:r>
          <a:r>
            <a:rPr lang="ru-RU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х</a:t>
          </a:r>
          <a:r>
            <a:rPr lang="ru-RU" sz="1100" b="0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</a:t>
          </a:r>
          <a:r>
            <a:rPr lang="ru-RU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</a:t>
          </a:r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350; </a:t>
          </a:r>
          <a:r>
            <a:rPr lang="ru-RU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х</a:t>
          </a:r>
          <a:r>
            <a:rPr lang="ru-RU" sz="1100" b="0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</a:t>
          </a:r>
          <a:r>
            <a:rPr lang="ru-RU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</a:t>
          </a:r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400</a:t>
          </a:r>
          <a:r>
            <a:rPr lang="ru-RU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endParaRPr lang="ru-RU" sz="1100" b="0">
            <a:latin typeface="+mn-lt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0</xdr:row>
      <xdr:rowOff>71438</xdr:rowOff>
    </xdr:from>
    <xdr:to>
      <xdr:col>11</xdr:col>
      <xdr:colOff>87313</xdr:colOff>
      <xdr:row>1</xdr:row>
      <xdr:rowOff>15875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/>
      </xdr:nvSpPr>
      <xdr:spPr>
        <a:xfrm>
          <a:off x="5873750" y="71438"/>
          <a:ext cx="2992438" cy="563562"/>
        </a:xfrm>
        <a:prstGeom prst="rect">
          <a:avLst/>
        </a:prstGeom>
        <a:solidFill>
          <a:schemeClr val="accent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800"/>
            <a:t>Уравнение: </a:t>
          </a:r>
          <a:r>
            <a:rPr lang="en-GB" sz="1800"/>
            <a:t>x - sin(x) - 0,25 = 0 </a:t>
          </a:r>
          <a:endParaRPr lang="ru-RU" sz="18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409573</xdr:colOff>
      <xdr:row>0</xdr:row>
      <xdr:rowOff>0</xdr:rowOff>
    </xdr:from>
    <xdr:to>
      <xdr:col>6</xdr:col>
      <xdr:colOff>334817</xdr:colOff>
      <xdr:row>4</xdr:row>
      <xdr:rowOff>187325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1252391" y="0"/>
          <a:ext cx="4404881" cy="1018598"/>
        </a:xfrm>
        <a:prstGeom prst="rect">
          <a:avLst/>
        </a:prstGeom>
        <a:solidFill>
          <a:schemeClr val="accent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ru-RU" sz="1600"/>
            <a:t>СЛАУ:</a:t>
          </a:r>
          <a:endParaRPr lang="en-GB" sz="1600"/>
        </a:p>
        <a:p>
          <a:pPr lvl="0" algn="ctr"/>
          <a:r>
            <a:rPr lang="en-GB" sz="1600"/>
            <a:t>7,6x1 +</a:t>
          </a:r>
          <a:r>
            <a:rPr lang="ru-RU" sz="1600"/>
            <a:t> </a:t>
          </a:r>
          <a:r>
            <a:rPr lang="en-GB" sz="1600"/>
            <a:t>5,8x2 + 4,7x3 =10,1; </a:t>
          </a:r>
          <a:br>
            <a:rPr lang="ru-RU" sz="1600"/>
          </a:br>
          <a:r>
            <a:rPr lang="en-GB" sz="1600"/>
            <a:t>3,8x1</a:t>
          </a:r>
          <a:r>
            <a:rPr lang="ru-RU" sz="1600" baseline="0"/>
            <a:t> + </a:t>
          </a:r>
          <a:r>
            <a:rPr lang="en-GB" sz="1600"/>
            <a:t>4,1x2 </a:t>
          </a:r>
          <a:r>
            <a:rPr lang="ru-RU" sz="1600"/>
            <a:t>+</a:t>
          </a:r>
          <a:r>
            <a:rPr lang="ru-RU" sz="1600" baseline="0"/>
            <a:t> </a:t>
          </a:r>
          <a:r>
            <a:rPr lang="en-GB" sz="1600"/>
            <a:t>2,7x3 </a:t>
          </a:r>
          <a:r>
            <a:rPr lang="ru-RU" sz="1600"/>
            <a:t>=</a:t>
          </a:r>
          <a:r>
            <a:rPr lang="en-GB" sz="1600"/>
            <a:t>9,7; </a:t>
          </a:r>
          <a:br>
            <a:rPr lang="ru-RU" sz="1600"/>
          </a:br>
          <a:r>
            <a:rPr lang="en-GB" sz="1600"/>
            <a:t>2,9x1 </a:t>
          </a:r>
          <a:r>
            <a:rPr lang="ru-RU" sz="1600"/>
            <a:t>+</a:t>
          </a:r>
          <a:r>
            <a:rPr lang="en-GB" sz="1600"/>
            <a:t>2,1x2 </a:t>
          </a:r>
          <a:r>
            <a:rPr lang="ru-RU" sz="1600"/>
            <a:t>+</a:t>
          </a:r>
          <a:r>
            <a:rPr lang="en-GB" sz="1600"/>
            <a:t>3,8x3 </a:t>
          </a:r>
          <a:r>
            <a:rPr lang="ru-RU" sz="1600"/>
            <a:t>=</a:t>
          </a:r>
          <a:r>
            <a:rPr lang="en-GB" sz="1600"/>
            <a:t>7,8</a:t>
          </a:r>
          <a:endParaRPr lang="ru-RU" sz="1600"/>
        </a:p>
      </xdr:txBody>
    </xdr:sp>
    <xdr:clientData/>
  </xdr:twoCellAnchor>
  <xdr:oneCellAnchor>
    <xdr:from>
      <xdr:col>0</xdr:col>
      <xdr:colOff>720435</xdr:colOff>
      <xdr:row>11</xdr:row>
      <xdr:rowOff>33481</xdr:rowOff>
    </xdr:from>
    <xdr:ext cx="2396837" cy="38177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002A3864-56E7-FBA5-72BA-4C61A745B309}"/>
                </a:ext>
              </a:extLst>
            </xdr:cNvPr>
            <xdr:cNvSpPr txBox="1"/>
          </xdr:nvSpPr>
          <xdr:spPr>
            <a:xfrm>
              <a:off x="720435" y="2850572"/>
              <a:ext cx="2396837" cy="381771"/>
            </a:xfrm>
            <a:prstGeom prst="rect">
              <a:avLst/>
            </a:prstGeom>
            <a:solidFill>
              <a:schemeClr val="accent2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GB" sz="2400" i="1">
                        <a:latin typeface="Cambria Math" panose="02040503050406030204" pitchFamily="18" charset="0"/>
                      </a:rPr>
                      <m:t>𝑋</m:t>
                    </m:r>
                    <m:r>
                      <a:rPr lang="en-GB" sz="2400" i="1">
                        <a:latin typeface="Cambria Math" panose="02040503050406030204" pitchFamily="18" charset="0"/>
                      </a:rPr>
                      <m:t> = </m:t>
                    </m:r>
                    <m:sSup>
                      <m:sSupPr>
                        <m:ctrlPr>
                          <a:rPr lang="en-GB" sz="24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2400" b="0" i="1">
                            <a:latin typeface="Cambria Math" panose="02040503050406030204" pitchFamily="18" charset="0"/>
                          </a:rPr>
                          <m:t>𝐴</m:t>
                        </m:r>
                      </m:e>
                      <m:sup>
                        <m:r>
                          <a:rPr lang="en-US" sz="2400" b="0" i="1">
                            <a:latin typeface="Cambria Math" panose="02040503050406030204" pitchFamily="18" charset="0"/>
                          </a:rPr>
                          <m:t>−1</m:t>
                        </m:r>
                      </m:sup>
                    </m:sSup>
                    <m:r>
                      <a:rPr lang="en-GB" sz="24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r>
                      <a:rPr lang="en-GB" sz="2400" i="1">
                        <a:latin typeface="Cambria Math" panose="02040503050406030204" pitchFamily="18" charset="0"/>
                      </a:rPr>
                      <m:t>𝐵</m:t>
                    </m:r>
                  </m:oMath>
                </m:oMathPara>
              </a14:m>
              <a:endParaRPr lang="ru-RU" sz="24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002A3864-56E7-FBA5-72BA-4C61A745B309}"/>
                </a:ext>
              </a:extLst>
            </xdr:cNvPr>
            <xdr:cNvSpPr txBox="1"/>
          </xdr:nvSpPr>
          <xdr:spPr>
            <a:xfrm>
              <a:off x="720435" y="2850572"/>
              <a:ext cx="2396837" cy="381771"/>
            </a:xfrm>
            <a:prstGeom prst="rect">
              <a:avLst/>
            </a:prstGeom>
            <a:solidFill>
              <a:schemeClr val="accent2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2400" i="0">
                  <a:latin typeface="Cambria Math" panose="02040503050406030204" pitchFamily="18" charset="0"/>
                </a:rPr>
                <a:t>𝑋 = </a:t>
              </a:r>
              <a:r>
                <a:rPr lang="en-US" sz="2400" b="0" i="0">
                  <a:latin typeface="Cambria Math" panose="02040503050406030204" pitchFamily="18" charset="0"/>
                </a:rPr>
                <a:t>𝐴</a:t>
              </a:r>
              <a:r>
                <a:rPr lang="en-GB" sz="2400" b="0" i="0">
                  <a:latin typeface="Cambria Math" panose="02040503050406030204" pitchFamily="18" charset="0"/>
                </a:rPr>
                <a:t>^(</a:t>
              </a:r>
              <a:r>
                <a:rPr lang="en-US" sz="2400" b="0" i="0">
                  <a:latin typeface="Cambria Math" panose="02040503050406030204" pitchFamily="18" charset="0"/>
                </a:rPr>
                <a:t>−1</a:t>
              </a:r>
              <a:r>
                <a:rPr lang="en-GB" sz="2400" b="0" i="0">
                  <a:latin typeface="Cambria Math" panose="02040503050406030204" pitchFamily="18" charset="0"/>
                </a:rPr>
                <a:t>)</a:t>
              </a:r>
              <a:r>
                <a:rPr lang="en-GB" sz="2400" i="0">
                  <a:latin typeface="Cambria Math" panose="02040503050406030204" pitchFamily="18" charset="0"/>
                  <a:ea typeface="Cambria Math" panose="02040503050406030204" pitchFamily="18" charset="0"/>
                </a:rPr>
                <a:t>×</a:t>
              </a:r>
              <a:r>
                <a:rPr lang="en-GB" sz="2400" i="0">
                  <a:latin typeface="Cambria Math" panose="02040503050406030204" pitchFamily="18" charset="0"/>
                </a:rPr>
                <a:t>𝐵</a:t>
              </a:r>
              <a:endParaRPr lang="ru-RU" sz="2400"/>
            </a:p>
          </xdr:txBody>
        </xdr:sp>
      </mc:Fallback>
    </mc:AlternateContent>
    <xdr:clientData/>
  </xdr:oneCellAnchor>
  <xdr:oneCellAnchor>
    <xdr:from>
      <xdr:col>0</xdr:col>
      <xdr:colOff>23091</xdr:colOff>
      <xdr:row>15</xdr:row>
      <xdr:rowOff>196059</xdr:rowOff>
    </xdr:from>
    <xdr:ext cx="1062182" cy="50084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C536636C-AE98-06F8-5BB3-7A243081CF13}"/>
                </a:ext>
              </a:extLst>
            </xdr:cNvPr>
            <xdr:cNvSpPr txBox="1"/>
          </xdr:nvSpPr>
          <xdr:spPr>
            <a:xfrm>
              <a:off x="23091" y="3844423"/>
              <a:ext cx="1062182" cy="5008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p>
                    <m:sSupPr>
                      <m:ctrlPr>
                        <a:rPr lang="en-GB" sz="240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n-GB" sz="2400" i="1">
                          <a:latin typeface="Cambria Math" panose="02040503050406030204" pitchFamily="18" charset="0"/>
                        </a:rPr>
                        <m:t>𝐴</m:t>
                      </m:r>
                    </m:e>
                    <m:sup>
                      <m:r>
                        <a:rPr lang="en-US" sz="2400" b="0" i="1">
                          <a:latin typeface="Cambria Math" panose="02040503050406030204" pitchFamily="18" charset="0"/>
                        </a:rPr>
                        <m:t>−1</m:t>
                      </m:r>
                    </m:sup>
                  </m:sSup>
                </m:oMath>
              </a14:m>
              <a:r>
                <a:rPr lang="en-US" sz="3200"/>
                <a:t> =</a:t>
              </a:r>
              <a:endParaRPr lang="ru-RU" sz="32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C536636C-AE98-06F8-5BB3-7A243081CF13}"/>
                </a:ext>
              </a:extLst>
            </xdr:cNvPr>
            <xdr:cNvSpPr txBox="1"/>
          </xdr:nvSpPr>
          <xdr:spPr>
            <a:xfrm>
              <a:off x="23091" y="3844423"/>
              <a:ext cx="1062182" cy="5008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GB" sz="2400" i="0">
                  <a:latin typeface="Cambria Math" panose="02040503050406030204" pitchFamily="18" charset="0"/>
                </a:rPr>
                <a:t>𝐴^(</a:t>
              </a:r>
              <a:r>
                <a:rPr lang="en-US" sz="2400" b="0" i="0">
                  <a:latin typeface="Cambria Math" panose="02040503050406030204" pitchFamily="18" charset="0"/>
                </a:rPr>
                <a:t>−1</a:t>
              </a:r>
              <a:r>
                <a:rPr lang="en-GB" sz="2400" b="0" i="0">
                  <a:latin typeface="Cambria Math" panose="02040503050406030204" pitchFamily="18" charset="0"/>
                </a:rPr>
                <a:t>)</a:t>
              </a:r>
              <a:r>
                <a:rPr lang="en-US" sz="3200"/>
                <a:t> =</a:t>
              </a:r>
              <a:endParaRPr lang="ru-RU" sz="3200"/>
            </a:p>
          </xdr:txBody>
        </xdr:sp>
      </mc:Fallback>
    </mc:AlternateContent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25232</xdr:colOff>
      <xdr:row>0</xdr:row>
      <xdr:rowOff>82665</xdr:rowOff>
    </xdr:from>
    <xdr:to>
      <xdr:col>7</xdr:col>
      <xdr:colOff>1342571</xdr:colOff>
      <xdr:row>4</xdr:row>
      <xdr:rowOff>18143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 txBox="1"/>
      </xdr:nvSpPr>
      <xdr:spPr>
        <a:xfrm>
          <a:off x="4152732" y="82665"/>
          <a:ext cx="2968339" cy="1314335"/>
        </a:xfrm>
        <a:prstGeom prst="rect">
          <a:avLst/>
        </a:prstGeom>
        <a:solidFill>
          <a:schemeClr val="accent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ru-RU" sz="1600"/>
            <a:t>СЛАУ:</a:t>
          </a:r>
          <a:endParaRPr lang="en-GB" sz="1600"/>
        </a:p>
        <a:p>
          <a:pPr lvl="0"/>
          <a:r>
            <a:rPr lang="en-GB" sz="1600"/>
            <a:t>7,6x1 +</a:t>
          </a:r>
          <a:r>
            <a:rPr lang="ru-RU" sz="1600"/>
            <a:t> </a:t>
          </a:r>
          <a:r>
            <a:rPr lang="en-GB" sz="1600"/>
            <a:t>5,8x2 + 4,7x3 =10,1; </a:t>
          </a:r>
          <a:br>
            <a:rPr lang="ru-RU" sz="1600"/>
          </a:br>
          <a:r>
            <a:rPr lang="en-GB" sz="1600"/>
            <a:t>3,8x1</a:t>
          </a:r>
          <a:r>
            <a:rPr lang="ru-RU" sz="1600" baseline="0"/>
            <a:t> + </a:t>
          </a:r>
          <a:r>
            <a:rPr lang="en-GB" sz="1600"/>
            <a:t>4,1x2 </a:t>
          </a:r>
          <a:r>
            <a:rPr lang="ru-RU" sz="1600"/>
            <a:t>+</a:t>
          </a:r>
          <a:r>
            <a:rPr lang="ru-RU" sz="1600" baseline="0"/>
            <a:t> </a:t>
          </a:r>
          <a:r>
            <a:rPr lang="en-GB" sz="1600"/>
            <a:t>2,7x3 </a:t>
          </a:r>
          <a:r>
            <a:rPr lang="ru-RU" sz="1600"/>
            <a:t>=</a:t>
          </a:r>
          <a:r>
            <a:rPr lang="en-GB" sz="1600"/>
            <a:t>9,7; </a:t>
          </a:r>
          <a:br>
            <a:rPr lang="ru-RU" sz="1600"/>
          </a:br>
          <a:r>
            <a:rPr lang="en-GB" sz="1600"/>
            <a:t>2,9x1 </a:t>
          </a:r>
          <a:r>
            <a:rPr lang="ru-RU" sz="1600"/>
            <a:t>+</a:t>
          </a:r>
          <a:r>
            <a:rPr lang="en-GB" sz="1600"/>
            <a:t>2,1x2 </a:t>
          </a:r>
          <a:r>
            <a:rPr lang="ru-RU" sz="1600"/>
            <a:t>+</a:t>
          </a:r>
          <a:r>
            <a:rPr lang="en-GB" sz="1600"/>
            <a:t>3,8x3 </a:t>
          </a:r>
          <a:r>
            <a:rPr lang="ru-RU" sz="1600"/>
            <a:t>=</a:t>
          </a:r>
          <a:r>
            <a:rPr lang="en-GB" sz="1600"/>
            <a:t>7,8</a:t>
          </a:r>
          <a:endParaRPr lang="ru-RU" sz="16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15875</xdr:colOff>
      <xdr:row>0</xdr:row>
      <xdr:rowOff>165100</xdr:rowOff>
    </xdr:from>
    <xdr:to>
      <xdr:col>3</xdr:col>
      <xdr:colOff>828675</xdr:colOff>
      <xdr:row>7</xdr:row>
      <xdr:rowOff>60210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0000000-0008-0000-0800-000002000000}"/>
                </a:ext>
              </a:extLst>
            </xdr:cNvPr>
            <xdr:cNvSpPr txBox="1"/>
          </xdr:nvSpPr>
          <xdr:spPr>
            <a:xfrm>
              <a:off x="854075" y="165100"/>
              <a:ext cx="2317750" cy="1295285"/>
            </a:xfrm>
            <a:prstGeom prst="rect">
              <a:avLst/>
            </a:prstGeom>
            <a:solidFill>
              <a:schemeClr val="accent2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lvl="0"/>
              <a:r>
                <a:rPr lang="ru-RU" sz="1600"/>
                <a:t>СНУ:</a:t>
              </a:r>
            </a:p>
            <a:p>
              <a:pPr lvl="0"/>
              <a:r>
                <a:rPr lang="ru-RU" sz="1600" baseline="0"/>
                <a:t> </a:t>
              </a:r>
              <a14:m>
                <m:oMath xmlns:m="http://schemas.openxmlformats.org/officeDocument/2006/math">
                  <m:func>
                    <m:funcPr>
                      <m:ctrlPr>
                        <a:rPr lang="en-US" sz="1600" i="1">
                          <a:latin typeface="Cambria Math" panose="02040503050406030204" pitchFamily="18" charset="0"/>
                        </a:rPr>
                      </m:ctrlPr>
                    </m:funcPr>
                    <m:fName>
                      <m:r>
                        <m:rPr>
                          <m:sty m:val="p"/>
                        </m:rPr>
                        <a:rPr lang="en-US" sz="1600" i="0">
                          <a:latin typeface="Cambria Math" panose="02040503050406030204" pitchFamily="18" charset="0"/>
                        </a:rPr>
                        <m:t>tg</m:t>
                      </m:r>
                    </m:fName>
                    <m:e>
                      <m:d>
                        <m:dPr>
                          <m:ctrlPr>
                            <a:rPr lang="en-US" sz="1600" i="1">
                              <a:latin typeface="Cambria Math" panose="02040503050406030204" pitchFamily="18" charset="0"/>
                            </a:rPr>
                          </m:ctrlPr>
                        </m:dPr>
                        <m:e>
                          <m:r>
                            <a:rPr lang="en-US" sz="1600" i="1">
                              <a:latin typeface="Cambria Math" panose="02040503050406030204" pitchFamily="18" charset="0"/>
                            </a:rPr>
                            <m:t>𝑥𝑦</m:t>
                          </m:r>
                          <m:r>
                            <a:rPr lang="en-US" sz="1600" i="1">
                              <a:latin typeface="Cambria Math" panose="02040503050406030204" pitchFamily="18" charset="0"/>
                            </a:rPr>
                            <m:t> + 0,1</m:t>
                          </m:r>
                        </m:e>
                      </m:d>
                    </m:e>
                  </m:func>
                  <m:r>
                    <a:rPr lang="en-US" sz="1600" b="0" i="1">
                      <a:latin typeface="Cambria Math" panose="02040503050406030204" pitchFamily="18" charset="0"/>
                    </a:rPr>
                    <m:t>=</m:t>
                  </m:r>
                  <m:sSup>
                    <m:sSupPr>
                      <m:ctrlPr>
                        <a:rPr lang="en-US" sz="160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n-US" sz="1600" b="0" i="1">
                          <a:latin typeface="Cambria Math" panose="02040503050406030204" pitchFamily="18" charset="0"/>
                        </a:rPr>
                        <m:t>𝑥</m:t>
                      </m:r>
                    </m:e>
                    <m:sup>
                      <m:r>
                        <a:rPr lang="en-US" sz="1600" i="1">
                          <a:latin typeface="Cambria Math" panose="02040503050406030204" pitchFamily="18" charset="0"/>
                        </a:rPr>
                        <m:t>2</m:t>
                      </m:r>
                    </m:sup>
                  </m:sSup>
                  <m:r>
                    <a:rPr lang="en-US" sz="1600" b="1" i="0">
                      <a:latin typeface="Cambria Math" panose="02040503050406030204" pitchFamily="18" charset="0"/>
                    </a:rPr>
                    <m:t> </m:t>
                  </m:r>
                </m:oMath>
              </a14:m>
              <a:r>
                <a:rPr lang="ru-RU" sz="1600" b="1"/>
                <a:t> </a:t>
              </a:r>
              <a:endParaRPr lang="en-US" sz="1600" b="1"/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600" baseline="0"/>
                <a:t> </a:t>
              </a:r>
              <a14:m>
                <m:oMath xmlns:m="http://schemas.openxmlformats.org/officeDocument/2006/math">
                  <m:sSup>
                    <m:sSupPr>
                      <m:ctrlPr>
                        <a:rPr lang="en-US" sz="160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n-US" sz="1600" b="0" i="1">
                          <a:latin typeface="Cambria Math" panose="02040503050406030204" pitchFamily="18" charset="0"/>
                        </a:rPr>
                        <m:t>𝑥</m:t>
                      </m:r>
                    </m:e>
                    <m:sup>
                      <m:r>
                        <a:rPr lang="en-US" sz="1600" b="0" i="1">
                          <a:latin typeface="Cambria Math" panose="02040503050406030204" pitchFamily="18" charset="0"/>
                        </a:rPr>
                        <m:t>2</m:t>
                      </m:r>
                    </m:sup>
                  </m:sSup>
                  <m:r>
                    <a:rPr lang="en-US" sz="1600" i="1" baseline="0">
                      <a:latin typeface="Cambria Math" panose="02040503050406030204" pitchFamily="18" charset="0"/>
                    </a:rPr>
                    <m:t> + </m:t>
                  </m:r>
                  <m:sSup>
                    <m:sSupPr>
                      <m:ctrlPr>
                        <a:rPr lang="en-US" sz="1600" i="1" baseline="0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n-US" sz="1600" b="0" i="1" baseline="0">
                          <a:latin typeface="Cambria Math" panose="02040503050406030204" pitchFamily="18" charset="0"/>
                        </a:rPr>
                        <m:t>𝑦</m:t>
                      </m:r>
                    </m:e>
                    <m:sup>
                      <m:r>
                        <a:rPr lang="en-US" sz="1600" b="0" i="1" baseline="0">
                          <a:latin typeface="Cambria Math" panose="02040503050406030204" pitchFamily="18" charset="0"/>
                        </a:rPr>
                        <m:t>2</m:t>
                      </m:r>
                    </m:sup>
                  </m:sSup>
                  <m:r>
                    <a:rPr lang="en-US" sz="1600" i="1" baseline="0">
                      <a:latin typeface="Cambria Math" panose="02040503050406030204" pitchFamily="18" charset="0"/>
                    </a:rPr>
                    <m:t> = 1</m:t>
                  </m:r>
                </m:oMath>
              </a14:m>
              <a:endParaRPr lang="ru-RU" sz="1600" baseline="0"/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ru-RU" sz="1600" b="1" i="1">
                <a:latin typeface="Cambria Math" panose="02040503050406030204" pitchFamily="18" charset="0"/>
              </a:endParaRPr>
            </a:p>
            <a:p>
              <a:pPr lvl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600" b="0" i="1" baseline="0">
                        <a:latin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ru-RU" sz="1600" baseline="0"/>
            </a:p>
            <a:p>
              <a:pPr lvl="0"/>
              <a:endParaRPr lang="ru-RU" sz="1600" baseline="0"/>
            </a:p>
            <a:p>
              <a:pPr lvl="0"/>
              <a:endParaRPr lang="en-US" sz="1600" baseline="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0000000-0008-0000-0800-000002000000}"/>
                </a:ext>
              </a:extLst>
            </xdr:cNvPr>
            <xdr:cNvSpPr txBox="1"/>
          </xdr:nvSpPr>
          <xdr:spPr>
            <a:xfrm>
              <a:off x="854075" y="165100"/>
              <a:ext cx="2317750" cy="1295285"/>
            </a:xfrm>
            <a:prstGeom prst="rect">
              <a:avLst/>
            </a:prstGeom>
            <a:solidFill>
              <a:schemeClr val="accent2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lvl="0"/>
              <a:r>
                <a:rPr lang="ru-RU" sz="1600"/>
                <a:t>СНУ:</a:t>
              </a:r>
            </a:p>
            <a:p>
              <a:pPr lvl="0"/>
              <a:r>
                <a:rPr lang="ru-RU" sz="1600" baseline="0"/>
                <a:t> </a:t>
              </a:r>
              <a:r>
                <a:rPr lang="en-US" sz="1600" i="0">
                  <a:latin typeface="Cambria Math" panose="02040503050406030204" pitchFamily="18" charset="0"/>
                </a:rPr>
                <a:t>tg⁡(𝑥𝑦 + 0,1)</a:t>
              </a:r>
              <a:r>
                <a:rPr lang="en-US" sz="1600" b="0" i="0">
                  <a:latin typeface="Cambria Math" panose="02040503050406030204" pitchFamily="18" charset="0"/>
                </a:rPr>
                <a:t>=𝑥^</a:t>
              </a:r>
              <a:r>
                <a:rPr lang="en-US" sz="1600" i="0">
                  <a:latin typeface="Cambria Math" panose="02040503050406030204" pitchFamily="18" charset="0"/>
                </a:rPr>
                <a:t>2</a:t>
              </a:r>
              <a:r>
                <a:rPr lang="en-US" sz="1600" b="1" i="0">
                  <a:latin typeface="Cambria Math" panose="02040503050406030204" pitchFamily="18" charset="0"/>
                </a:rPr>
                <a:t>  </a:t>
              </a:r>
              <a:r>
                <a:rPr lang="ru-RU" sz="1600" b="1"/>
                <a:t> </a:t>
              </a:r>
              <a:endParaRPr lang="en-US" sz="1600" b="1"/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600" baseline="0"/>
                <a:t> </a:t>
              </a:r>
              <a:r>
                <a:rPr lang="en-US" sz="1600" b="0" i="0">
                  <a:latin typeface="Cambria Math" panose="02040503050406030204" pitchFamily="18" charset="0"/>
                </a:rPr>
                <a:t>𝑥^2</a:t>
              </a:r>
              <a:r>
                <a:rPr lang="en-US" sz="1600" b="0" i="0" baseline="0">
                  <a:latin typeface="Cambria Math" panose="02040503050406030204" pitchFamily="18" charset="0"/>
                </a:rPr>
                <a:t> </a:t>
              </a:r>
              <a:r>
                <a:rPr lang="en-US" sz="1600" i="0" baseline="0">
                  <a:latin typeface="Cambria Math" panose="02040503050406030204" pitchFamily="18" charset="0"/>
                </a:rPr>
                <a:t> + </a:t>
              </a:r>
              <a:r>
                <a:rPr lang="en-US" sz="1600" b="0" i="0" baseline="0">
                  <a:latin typeface="Cambria Math" panose="02040503050406030204" pitchFamily="18" charset="0"/>
                </a:rPr>
                <a:t>𝑦^2 </a:t>
              </a:r>
              <a:r>
                <a:rPr lang="en-US" sz="1600" i="0" baseline="0">
                  <a:latin typeface="Cambria Math" panose="02040503050406030204" pitchFamily="18" charset="0"/>
                </a:rPr>
                <a:t> = 1</a:t>
              </a:r>
              <a:endParaRPr lang="ru-RU" sz="1600" baseline="0"/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ru-RU" sz="1600" b="1" i="1">
                <a:latin typeface="Cambria Math" panose="02040503050406030204" pitchFamily="18" charset="0"/>
              </a:endParaRPr>
            </a:p>
            <a:p>
              <a:pPr lvl="0"/>
              <a:r>
                <a:rPr lang="en-US" sz="1600" b="0" i="0" baseline="0">
                  <a:latin typeface="Cambria Math" panose="02040503050406030204" pitchFamily="18" charset="0"/>
                </a:rPr>
                <a:t> </a:t>
              </a:r>
              <a:endParaRPr lang="ru-RU" sz="1600" baseline="0"/>
            </a:p>
            <a:p>
              <a:pPr lvl="0"/>
              <a:endParaRPr lang="ru-RU" sz="1600" baseline="0"/>
            </a:p>
            <a:p>
              <a:pPr lvl="0"/>
              <a:endParaRPr lang="en-US" sz="1600" baseline="0"/>
            </a:p>
          </xdr:txBody>
        </xdr:sp>
      </mc:Fallback>
    </mc:AlternateContent>
    <xdr:clientData/>
  </xdr:twoCellAnchor>
  <xdr:twoCellAnchor>
    <xdr:from>
      <xdr:col>1</xdr:col>
      <xdr:colOff>280988</xdr:colOff>
      <xdr:row>17</xdr:row>
      <xdr:rowOff>47625</xdr:rowOff>
    </xdr:from>
    <xdr:to>
      <xdr:col>15</xdr:col>
      <xdr:colOff>57150</xdr:colOff>
      <xdr:row>42</xdr:row>
      <xdr:rowOff>171450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3C55CEF4-D558-49BA-ADA2-76E6C37E0B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</xdr:row>
          <xdr:rowOff>53340</xdr:rowOff>
        </xdr:from>
        <xdr:to>
          <xdr:col>15</xdr:col>
          <xdr:colOff>167640</xdr:colOff>
          <xdr:row>8</xdr:row>
          <xdr:rowOff>15240</xdr:rowOff>
        </xdr:to>
        <xdr:sp macro="" textlink="">
          <xdr:nvSpPr>
            <xdr:cNvPr id="21506" name="Object 2" hidden="1">
              <a:extLst>
                <a:ext uri="{63B3BB69-23CF-44E3-9099-C40C66FF867C}">
                  <a14:compatExt spid="_x0000_s21506"/>
                </a:ext>
                <a:ext uri="{FF2B5EF4-FFF2-40B4-BE49-F238E27FC236}">
                  <a16:creationId xmlns:a16="http://schemas.microsoft.com/office/drawing/2014/main" id="{00000000-0008-0000-1400-000002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.gladysheva" refreshedDate="45574.453666319445" createdVersion="7" refreshedVersion="7" minRefreshableVersion="3" recordCount="10" xr:uid="{16B1B7DF-1309-4E57-99A5-BA401D5B2125}">
  <cacheSource type="worksheet">
    <worksheetSource ref="A2:G12" sheet="3.5 Создание сводной таблицы"/>
  </cacheSource>
  <cacheFields count="7">
    <cacheField name="Ф.И.О." numFmtId="0">
      <sharedItems count="10">
        <s v="Петухова К.И."/>
        <s v="Безенчук П.Ф."/>
        <s v="Воробьянинов И.М."/>
        <s v="Востриков Ф.О."/>
        <s v="Коробейников В.А."/>
        <s v="Грицацуева В.С."/>
        <s v="Гаврилин З.С."/>
        <s v="Треухов Т.И."/>
        <s v="Изнуренков А.В."/>
        <s v="Щукина Э.Е."/>
      </sharedItems>
    </cacheField>
    <cacheField name="Отдел" numFmtId="1">
      <sharedItems containsSemiMixedTypes="0" containsString="0" containsNumber="1" containsInteger="1" minValue="1" maxValue="3" count="3">
        <n v="1"/>
        <n v="3"/>
        <n v="2"/>
      </sharedItems>
    </cacheField>
    <cacheField name="Количество иждивенцев" numFmtId="1">
      <sharedItems containsSemiMixedTypes="0" containsString="0" containsNumber="1" containsInteger="1" minValue="0" maxValue="4" count="5">
        <n v="1"/>
        <n v="2"/>
        <n v="3"/>
        <n v="4"/>
        <n v="0"/>
      </sharedItems>
    </cacheField>
    <cacheField name="Всего  начислено, руб." numFmtId="1">
      <sharedItems containsSemiMixedTypes="0" containsString="0" containsNumber="1" containsInteger="1" minValue="250" maxValue="1260"/>
    </cacheField>
    <cacheField name="Процент удержания" numFmtId="1">
      <sharedItems containsSemiMixedTypes="0" containsString="0" containsNumber="1" containsInteger="1" minValue="0" maxValue="14"/>
    </cacheField>
    <cacheField name="Всего удержано, руб." numFmtId="2">
      <sharedItems containsSemiMixedTypes="0" containsString="0" containsNumber="1" minValue="0" maxValue="151.19999999999999"/>
    </cacheField>
    <cacheField name="Сумма к выдаче, руб." numFmtId="2">
      <sharedItems containsSemiMixedTypes="0" containsString="0" containsNumber="1" minValue="220" maxValue="1108.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x v="0"/>
    <n v="1260"/>
    <n v="12"/>
    <n v="151.19999999999999"/>
    <n v="1108.8"/>
  </r>
  <r>
    <x v="1"/>
    <x v="1"/>
    <x v="1"/>
    <n v="1100"/>
    <n v="10"/>
    <n v="110"/>
    <n v="990"/>
  </r>
  <r>
    <x v="2"/>
    <x v="2"/>
    <x v="2"/>
    <n v="800"/>
    <n v="5"/>
    <n v="40"/>
    <n v="760"/>
  </r>
  <r>
    <x v="3"/>
    <x v="2"/>
    <x v="1"/>
    <n v="750"/>
    <n v="10"/>
    <n v="75"/>
    <n v="675"/>
  </r>
  <r>
    <x v="4"/>
    <x v="1"/>
    <x v="0"/>
    <n v="715"/>
    <n v="12"/>
    <n v="85.8"/>
    <n v="629.20000000000005"/>
  </r>
  <r>
    <x v="5"/>
    <x v="0"/>
    <x v="2"/>
    <n v="630"/>
    <n v="5"/>
    <n v="31.5"/>
    <n v="598.5"/>
  </r>
  <r>
    <x v="6"/>
    <x v="0"/>
    <x v="3"/>
    <n v="620"/>
    <n v="0"/>
    <n v="0"/>
    <n v="620"/>
  </r>
  <r>
    <x v="7"/>
    <x v="1"/>
    <x v="0"/>
    <n v="560"/>
    <n v="12"/>
    <n v="67.2"/>
    <n v="492.8"/>
  </r>
  <r>
    <x v="8"/>
    <x v="0"/>
    <x v="4"/>
    <n v="420"/>
    <n v="14"/>
    <n v="58.8"/>
    <n v="361.2"/>
  </r>
  <r>
    <x v="9"/>
    <x v="1"/>
    <x v="0"/>
    <n v="250"/>
    <n v="12"/>
    <n v="30"/>
    <n v="2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4ECC99-6F78-449E-B769-DB66DD65A68D}" name="Сводная таблица1" cacheId="0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>
  <location ref="A4:B8" firstHeaderRow="1" firstDataRow="1" firstDataCol="1" rowPageCount="2" colPageCount="1"/>
  <pivotFields count="7">
    <pivotField axis="axisRow" showAll="0">
      <items count="11">
        <item x="1"/>
        <item x="2"/>
        <item x="3"/>
        <item x="6"/>
        <item x="5"/>
        <item x="8"/>
        <item x="4"/>
        <item x="0"/>
        <item x="7"/>
        <item x="9"/>
        <item t="default"/>
      </items>
    </pivotField>
    <pivotField axis="axisPage" dataField="1" numFmtId="1" showAll="0">
      <items count="4">
        <item x="0"/>
        <item x="2"/>
        <item x="1"/>
        <item t="default"/>
      </items>
    </pivotField>
    <pivotField axis="axisPage" numFmtId="1" showAll="0">
      <items count="6">
        <item x="4"/>
        <item x="0"/>
        <item x="1"/>
        <item x="2"/>
        <item x="3"/>
        <item t="default"/>
      </items>
    </pivotField>
    <pivotField numFmtId="1" showAll="0"/>
    <pivotField numFmtId="1" showAll="0"/>
    <pivotField numFmtId="2" showAll="0"/>
    <pivotField numFmtId="2" showAll="0"/>
  </pivotFields>
  <rowFields count="1">
    <field x="0"/>
  </rowFields>
  <rowItems count="4">
    <i>
      <x v="6"/>
    </i>
    <i>
      <x v="8"/>
    </i>
    <i>
      <x v="9"/>
    </i>
    <i t="grand">
      <x/>
    </i>
  </rowItems>
  <colItems count="1">
    <i/>
  </colItems>
  <pageFields count="2">
    <pageField fld="2" item="1" hier="-1"/>
    <pageField fld="1" item="2" hier="-1"/>
  </pageFields>
  <dataFields count="1">
    <dataField name="Количество по полю Отдел" fld="1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FDAF7CD-94A0-0844-BE51-2BC998474A0C}" name="Таблица2" displayName="Таблица2" ref="A1:F11" totalsRowShown="0" headerRowDxfId="5">
  <autoFilter ref="A1:F11" xr:uid="{3FDAF7CD-94A0-0844-BE51-2BC998474A0C}"/>
  <tableColumns count="6">
    <tableColumn id="1" xr3:uid="{EF78A0AE-FDF9-934F-82FE-C5855BAE52A6}" name="Планета"/>
    <tableColumn id="2" xr3:uid="{FFCFB2B3-6D59-034F-83EE-851A61ADB4B0}" name="Период  обращения, земной год" dataDxfId="4"/>
    <tableColumn id="3" xr3:uid="{6E1DCD79-95DA-0F40-AB98-3911B104B054}" name="Расстояние от Солнца,_x000a_млн км" dataDxfId="3"/>
    <tableColumn id="4" xr3:uid="{6EE6C5B0-4291-C041-AF80-1A873FFE08AE}" name="Диаметр, тыс.км" dataDxfId="2"/>
    <tableColumn id="5" xr3:uid="{6899A980-110B-C34C-B50E-4D9ADCC8F5ED}" name="Масса, Тт" dataDxfId="1"/>
    <tableColumn id="6" xr3:uid="{0119919E-34AD-414A-A624-A70CA500120D}" name="Количество спутников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package" Target="../embeddings/Microsoft_Word_Document.docx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0.xml"/><Relationship Id="rId4" Type="http://schemas.openxmlformats.org/officeDocument/2006/relationships/image" Target="../media/image3.emf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41B5F-03F0-874F-B644-360F8E9795E2}">
  <dimension ref="J2:R53"/>
  <sheetViews>
    <sheetView workbookViewId="0">
      <selection activeCell="O24" sqref="O24"/>
    </sheetView>
  </sheetViews>
  <sheetFormatPr defaultColWidth="11" defaultRowHeight="15.6" x14ac:dyDescent="0.3"/>
  <sheetData>
    <row r="2" spans="10:17" x14ac:dyDescent="0.3">
      <c r="J2" s="14"/>
      <c r="K2" s="14"/>
      <c r="L2" s="14"/>
      <c r="M2" s="15"/>
      <c r="N2" s="15"/>
    </row>
    <row r="3" spans="10:17" x14ac:dyDescent="0.3">
      <c r="J3" s="47"/>
      <c r="M3" s="13"/>
    </row>
    <row r="4" spans="10:17" x14ac:dyDescent="0.3">
      <c r="M4" s="13"/>
      <c r="N4" s="12"/>
      <c r="O4" s="12"/>
      <c r="P4" s="12"/>
    </row>
    <row r="5" spans="10:17" x14ac:dyDescent="0.3">
      <c r="J5" s="47"/>
      <c r="M5" s="13"/>
      <c r="N5" s="8"/>
      <c r="O5" s="8"/>
      <c r="P5" s="8"/>
    </row>
    <row r="6" spans="10:17" x14ac:dyDescent="0.3">
      <c r="J6" s="48"/>
      <c r="M6" s="13"/>
      <c r="N6" s="8"/>
      <c r="O6" s="8"/>
      <c r="P6" s="8"/>
    </row>
    <row r="7" spans="10:17" x14ac:dyDescent="0.3">
      <c r="J7" s="12"/>
      <c r="M7" s="13"/>
      <c r="N7" s="9"/>
      <c r="O7" s="9"/>
      <c r="P7" s="9"/>
    </row>
    <row r="8" spans="10:17" ht="18" x14ac:dyDescent="0.3">
      <c r="J8" s="12"/>
      <c r="M8" s="13"/>
      <c r="Q8" s="1"/>
    </row>
    <row r="9" spans="10:17" ht="18" x14ac:dyDescent="0.3">
      <c r="J9" s="12"/>
      <c r="M9" s="13"/>
      <c r="Q9" s="1"/>
    </row>
    <row r="10" spans="10:17" ht="18" x14ac:dyDescent="0.3">
      <c r="J10" s="12"/>
      <c r="M10" s="13"/>
      <c r="Q10" s="1"/>
    </row>
    <row r="11" spans="10:17" ht="18" x14ac:dyDescent="0.3">
      <c r="J11" s="12"/>
      <c r="M11" s="13"/>
      <c r="Q11" s="1"/>
    </row>
    <row r="12" spans="10:17" ht="18" x14ac:dyDescent="0.3">
      <c r="J12" s="12"/>
      <c r="M12" s="13"/>
      <c r="Q12" s="1"/>
    </row>
    <row r="13" spans="10:17" ht="18" x14ac:dyDescent="0.3">
      <c r="J13" s="12"/>
      <c r="M13" s="13"/>
      <c r="Q13" s="1"/>
    </row>
    <row r="14" spans="10:17" ht="18" x14ac:dyDescent="0.3">
      <c r="J14" s="18"/>
      <c r="M14" s="13"/>
      <c r="Q14" s="1"/>
    </row>
    <row r="15" spans="10:17" ht="18" x14ac:dyDescent="0.3">
      <c r="J15" s="18"/>
      <c r="M15" s="13"/>
      <c r="Q15" s="1"/>
    </row>
    <row r="16" spans="10:17" ht="18" x14ac:dyDescent="0.3">
      <c r="J16" s="18"/>
      <c r="M16" s="13"/>
      <c r="Q16" s="2"/>
    </row>
    <row r="17" spans="10:18" ht="18" x14ac:dyDescent="0.3">
      <c r="J17" s="18"/>
      <c r="M17" s="13"/>
      <c r="Q17" s="2"/>
    </row>
    <row r="18" spans="10:18" ht="18" x14ac:dyDescent="0.3">
      <c r="J18" s="18"/>
      <c r="M18" s="13"/>
      <c r="Q18" s="1"/>
    </row>
    <row r="19" spans="10:18" ht="18" x14ac:dyDescent="0.3">
      <c r="J19" s="18"/>
      <c r="M19" s="13"/>
      <c r="Q19" s="1"/>
    </row>
    <row r="20" spans="10:18" ht="18" x14ac:dyDescent="0.3">
      <c r="J20" s="18"/>
      <c r="M20" s="13"/>
      <c r="Q20" s="1"/>
    </row>
    <row r="21" spans="10:18" x14ac:dyDescent="0.3">
      <c r="Q21" s="3"/>
    </row>
    <row r="22" spans="10:18" ht="18" x14ac:dyDescent="0.3">
      <c r="Q22" s="1"/>
    </row>
    <row r="23" spans="10:18" ht="18" x14ac:dyDescent="0.3">
      <c r="Q23" s="1"/>
    </row>
    <row r="24" spans="10:18" ht="18" x14ac:dyDescent="0.3">
      <c r="Q24" s="1"/>
    </row>
    <row r="25" spans="10:18" ht="18" x14ac:dyDescent="0.3">
      <c r="Q25" s="2"/>
    </row>
    <row r="26" spans="10:18" x14ac:dyDescent="0.3">
      <c r="Q26" s="3"/>
    </row>
    <row r="27" spans="10:18" ht="18" x14ac:dyDescent="0.3">
      <c r="Q27" s="1"/>
    </row>
    <row r="28" spans="10:18" ht="18" x14ac:dyDescent="0.3">
      <c r="Q28" s="1"/>
    </row>
    <row r="29" spans="10:18" ht="18" x14ac:dyDescent="0.3">
      <c r="Q29" s="1"/>
    </row>
    <row r="30" spans="10:18" ht="18" x14ac:dyDescent="0.3">
      <c r="R30" s="4"/>
    </row>
    <row r="31" spans="10:18" ht="18" x14ac:dyDescent="0.3">
      <c r="R31" s="4"/>
    </row>
    <row r="32" spans="10:18" ht="16.05" customHeight="1" x14ac:dyDescent="0.3">
      <c r="R32" s="5"/>
    </row>
    <row r="33" spans="18:18" ht="16.05" customHeight="1" x14ac:dyDescent="0.3">
      <c r="R33" s="6"/>
    </row>
    <row r="34" spans="18:18" ht="16.05" customHeight="1" x14ac:dyDescent="0.3">
      <c r="R34" s="6"/>
    </row>
    <row r="35" spans="18:18" ht="18" x14ac:dyDescent="0.3">
      <c r="R35" s="4"/>
    </row>
    <row r="36" spans="18:18" ht="16.05" customHeight="1" x14ac:dyDescent="0.3">
      <c r="R36" s="6"/>
    </row>
    <row r="37" spans="18:18" ht="18" x14ac:dyDescent="0.3">
      <c r="R37" s="4"/>
    </row>
    <row r="38" spans="18:18" ht="18" x14ac:dyDescent="0.3">
      <c r="R38" s="4"/>
    </row>
    <row r="39" spans="18:18" ht="18" x14ac:dyDescent="0.3">
      <c r="R39" s="4"/>
    </row>
    <row r="40" spans="18:18" ht="18" x14ac:dyDescent="0.3">
      <c r="R40" s="4"/>
    </row>
    <row r="41" spans="18:18" x14ac:dyDescent="0.3">
      <c r="R41" s="6"/>
    </row>
    <row r="42" spans="18:18" ht="18" x14ac:dyDescent="0.3">
      <c r="R42" s="4"/>
    </row>
    <row r="43" spans="18:18" x14ac:dyDescent="0.3">
      <c r="R43" s="6"/>
    </row>
    <row r="44" spans="18:18" x14ac:dyDescent="0.3">
      <c r="R44" s="6"/>
    </row>
    <row r="52" spans="17:17" x14ac:dyDescent="0.3">
      <c r="Q52" s="7"/>
    </row>
    <row r="53" spans="17:17" x14ac:dyDescent="0.3">
      <c r="Q53" s="7"/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95943-D807-004D-AD88-9640F7DDA194}">
  <dimension ref="A1:G14"/>
  <sheetViews>
    <sheetView zoomScaleNormal="100" workbookViewId="0">
      <selection activeCell="C4" sqref="C4"/>
    </sheetView>
  </sheetViews>
  <sheetFormatPr defaultColWidth="11" defaultRowHeight="15.6" x14ac:dyDescent="0.3"/>
  <cols>
    <col min="1" max="1" width="20.69921875" customWidth="1"/>
    <col min="2" max="2" width="13.69921875" customWidth="1"/>
    <col min="4" max="4" width="12.5" customWidth="1"/>
    <col min="6" max="6" width="12.19921875" customWidth="1"/>
    <col min="9" max="9" width="12" customWidth="1"/>
    <col min="10" max="10" width="12.19921875" customWidth="1"/>
  </cols>
  <sheetData>
    <row r="1" spans="1:7" ht="22.95" customHeight="1" x14ac:dyDescent="0.3">
      <c r="A1" s="195" t="s">
        <v>24</v>
      </c>
      <c r="B1" s="195" t="s">
        <v>18</v>
      </c>
      <c r="C1" s="195"/>
      <c r="D1" s="195" t="s">
        <v>19</v>
      </c>
      <c r="E1" s="195"/>
      <c r="F1" s="195" t="s">
        <v>20</v>
      </c>
      <c r="G1" s="195"/>
    </row>
    <row r="2" spans="1:7" ht="31.2" x14ac:dyDescent="0.3">
      <c r="A2" s="195"/>
      <c r="B2" s="22" t="s">
        <v>21</v>
      </c>
      <c r="C2" s="22" t="s">
        <v>22</v>
      </c>
      <c r="D2" s="22" t="s">
        <v>21</v>
      </c>
      <c r="E2" s="22" t="s">
        <v>22</v>
      </c>
      <c r="F2" s="22" t="s">
        <v>21</v>
      </c>
      <c r="G2" s="22" t="s">
        <v>23</v>
      </c>
    </row>
    <row r="3" spans="1:7" ht="46.95" customHeight="1" x14ac:dyDescent="0.3">
      <c r="A3" s="17" t="s">
        <v>36</v>
      </c>
      <c r="B3" s="34">
        <f>SUM(B4:B9)</f>
        <v>1403660</v>
      </c>
      <c r="C3" s="35">
        <f>(100*B3)/$B$14</f>
        <v>98.340280940203868</v>
      </c>
      <c r="D3" s="34">
        <f>SUM(D4:D9)</f>
        <v>1609074</v>
      </c>
      <c r="E3" s="35">
        <f>(100*D3)/$D$14</f>
        <v>97.252045885865556</v>
      </c>
      <c r="F3" s="35">
        <f>D3-B3</f>
        <v>205414</v>
      </c>
      <c r="G3" s="35">
        <f>(100*F3)/$F$14</f>
        <v>90.415071085875255</v>
      </c>
    </row>
    <row r="4" spans="1:7" ht="46.8" x14ac:dyDescent="0.3">
      <c r="A4" s="17" t="s">
        <v>25</v>
      </c>
      <c r="B4" s="34">
        <v>347660</v>
      </c>
      <c r="C4" s="35">
        <f t="shared" ref="C4:C14" si="0">(100*B4)/$B$14</f>
        <v>24.357025256594387</v>
      </c>
      <c r="D4" s="34">
        <v>666562</v>
      </c>
      <c r="E4" s="35">
        <f t="shared" ref="E4:E14" si="1">(100*D4)/$D$14</f>
        <v>40.28684709949593</v>
      </c>
      <c r="F4" s="35">
        <f t="shared" ref="F4:F14" si="2">D4-B4</f>
        <v>318902</v>
      </c>
      <c r="G4" s="35">
        <f t="shared" ref="G4:G14" si="3">(100*F4)/$F$14</f>
        <v>140.36797394251508</v>
      </c>
    </row>
    <row r="5" spans="1:7" ht="57" customHeight="1" x14ac:dyDescent="0.3">
      <c r="A5" s="17" t="s">
        <v>26</v>
      </c>
      <c r="B5" s="34">
        <v>396110</v>
      </c>
      <c r="C5" s="35">
        <f t="shared" si="0"/>
        <v>27.751427470487268</v>
      </c>
      <c r="D5" s="34">
        <v>142887</v>
      </c>
      <c r="E5" s="35">
        <f t="shared" si="1"/>
        <v>8.6360559430415709</v>
      </c>
      <c r="F5" s="35">
        <f t="shared" si="2"/>
        <v>-253223</v>
      </c>
      <c r="G5" s="35">
        <f t="shared" si="3"/>
        <v>-111.45869096351072</v>
      </c>
    </row>
    <row r="6" spans="1:7" ht="31.2" x14ac:dyDescent="0.3">
      <c r="A6" s="17" t="s">
        <v>29</v>
      </c>
      <c r="B6" s="34">
        <v>53810</v>
      </c>
      <c r="C6" s="35">
        <f t="shared" si="0"/>
        <v>3.7699232844081689</v>
      </c>
      <c r="D6" s="34">
        <v>35696</v>
      </c>
      <c r="E6" s="35">
        <f t="shared" si="1"/>
        <v>2.1574576619483361</v>
      </c>
      <c r="F6" s="35">
        <f t="shared" si="2"/>
        <v>-18114</v>
      </c>
      <c r="G6" s="35">
        <f t="shared" si="3"/>
        <v>-7.9730621946388487</v>
      </c>
    </row>
    <row r="7" spans="1:7" ht="31.2" x14ac:dyDescent="0.3">
      <c r="A7" s="17" t="s">
        <v>30</v>
      </c>
      <c r="B7" s="34">
        <v>266900</v>
      </c>
      <c r="C7" s="35">
        <f t="shared" si="0"/>
        <v>18.698987634427436</v>
      </c>
      <c r="D7" s="34">
        <v>107253</v>
      </c>
      <c r="E7" s="35">
        <f t="shared" si="1"/>
        <v>6.4823455461941082</v>
      </c>
      <c r="F7" s="35">
        <f t="shared" si="2"/>
        <v>-159647</v>
      </c>
      <c r="G7" s="35">
        <f t="shared" si="3"/>
        <v>-70.270258374048154</v>
      </c>
    </row>
    <row r="8" spans="1:7" ht="79.95" customHeight="1" x14ac:dyDescent="0.3">
      <c r="A8" s="17" t="s">
        <v>27</v>
      </c>
      <c r="B8" s="34">
        <v>102600</v>
      </c>
      <c r="C8" s="35">
        <f t="shared" si="0"/>
        <v>7.1881458647143308</v>
      </c>
      <c r="D8" s="34">
        <v>382380</v>
      </c>
      <c r="E8" s="35">
        <f t="shared" si="1"/>
        <v>23.110955310841685</v>
      </c>
      <c r="F8" s="35">
        <f t="shared" si="2"/>
        <v>279780</v>
      </c>
      <c r="G8" s="35">
        <f t="shared" si="3"/>
        <v>123.14802588142084</v>
      </c>
    </row>
    <row r="9" spans="1:7" ht="45" customHeight="1" x14ac:dyDescent="0.3">
      <c r="A9" s="17" t="s">
        <v>28</v>
      </c>
      <c r="B9" s="34">
        <v>236580</v>
      </c>
      <c r="C9" s="35">
        <f t="shared" si="0"/>
        <v>16.574771429572284</v>
      </c>
      <c r="D9" s="34">
        <v>274296</v>
      </c>
      <c r="E9" s="35">
        <f t="shared" si="1"/>
        <v>16.578384324343926</v>
      </c>
      <c r="F9" s="35">
        <f t="shared" si="2"/>
        <v>37716</v>
      </c>
      <c r="G9" s="35">
        <f t="shared" si="3"/>
        <v>16.601082794137067</v>
      </c>
    </row>
    <row r="10" spans="1:7" ht="40.049999999999997" customHeight="1" x14ac:dyDescent="0.3">
      <c r="A10" s="16" t="s">
        <v>31</v>
      </c>
      <c r="B10" s="34">
        <f>SUM(B11:B13)</f>
        <v>23690</v>
      </c>
      <c r="C10" s="35">
        <f t="shared" si="0"/>
        <v>1.6597190597961258</v>
      </c>
      <c r="D10" s="34">
        <f>SUM(D11:D13)</f>
        <v>45466</v>
      </c>
      <c r="E10" s="35">
        <f t="shared" si="1"/>
        <v>2.7479541141344423</v>
      </c>
      <c r="F10" s="35">
        <f t="shared" si="2"/>
        <v>21776</v>
      </c>
      <c r="G10" s="35">
        <f t="shared" si="3"/>
        <v>9.5849289141247418</v>
      </c>
    </row>
    <row r="11" spans="1:7" ht="66" customHeight="1" x14ac:dyDescent="0.3">
      <c r="A11" s="17" t="s">
        <v>35</v>
      </c>
      <c r="B11" s="34">
        <v>10690</v>
      </c>
      <c r="C11" s="35">
        <f t="shared" si="0"/>
        <v>0.74894034399411502</v>
      </c>
      <c r="D11" s="34">
        <v>37366</v>
      </c>
      <c r="E11" s="35">
        <f t="shared" si="1"/>
        <v>2.2583920606331671</v>
      </c>
      <c r="F11" s="35">
        <f t="shared" si="2"/>
        <v>26676</v>
      </c>
      <c r="G11" s="35">
        <f t="shared" si="3"/>
        <v>11.741713983890136</v>
      </c>
    </row>
    <row r="12" spans="1:7" ht="31.2" x14ac:dyDescent="0.3">
      <c r="A12" s="17" t="s">
        <v>32</v>
      </c>
      <c r="B12" s="34">
        <v>9500</v>
      </c>
      <c r="C12" s="35">
        <f t="shared" si="0"/>
        <v>0.66556906154762319</v>
      </c>
      <c r="D12" s="34">
        <v>4500</v>
      </c>
      <c r="E12" s="35">
        <f t="shared" si="1"/>
        <v>0.27197891861181961</v>
      </c>
      <c r="F12" s="35">
        <f>D12-B12</f>
        <v>-5000</v>
      </c>
      <c r="G12" s="35">
        <f t="shared" si="3"/>
        <v>-2.2008010915973415</v>
      </c>
    </row>
    <row r="13" spans="1:7" x14ac:dyDescent="0.3">
      <c r="A13" s="17" t="s">
        <v>33</v>
      </c>
      <c r="B13" s="34">
        <v>3500</v>
      </c>
      <c r="C13" s="35">
        <f t="shared" si="0"/>
        <v>0.24520965425438751</v>
      </c>
      <c r="D13" s="34">
        <v>3600</v>
      </c>
      <c r="E13" s="35">
        <f t="shared" si="1"/>
        <v>0.21758313488945569</v>
      </c>
      <c r="F13" s="35">
        <f t="shared" si="2"/>
        <v>100</v>
      </c>
      <c r="G13" s="35">
        <f t="shared" si="3"/>
        <v>4.4016021831946826E-2</v>
      </c>
    </row>
    <row r="14" spans="1:7" x14ac:dyDescent="0.3">
      <c r="A14" s="17" t="s">
        <v>34</v>
      </c>
      <c r="B14" s="34">
        <f>SUM(B3,B10)</f>
        <v>1427350</v>
      </c>
      <c r="C14" s="35">
        <f t="shared" si="0"/>
        <v>100</v>
      </c>
      <c r="D14" s="34">
        <f>D10+D3</f>
        <v>1654540</v>
      </c>
      <c r="E14" s="35">
        <f t="shared" si="1"/>
        <v>100</v>
      </c>
      <c r="F14" s="35">
        <f t="shared" si="2"/>
        <v>227190</v>
      </c>
      <c r="G14" s="35">
        <f t="shared" si="3"/>
        <v>100</v>
      </c>
    </row>
  </sheetData>
  <mergeCells count="4">
    <mergeCell ref="A1:A2"/>
    <mergeCell ref="B1:C1"/>
    <mergeCell ref="D1:E1"/>
    <mergeCell ref="F1:G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5BD96-5263-4242-8EB0-BDB025322C40}">
  <dimension ref="A1:B75"/>
  <sheetViews>
    <sheetView topLeftCell="H1" zoomScale="110" zoomScaleNormal="110" zoomScaleSheetLayoutView="100" workbookViewId="0">
      <selection activeCell="E34" sqref="E34"/>
    </sheetView>
  </sheetViews>
  <sheetFormatPr defaultColWidth="11" defaultRowHeight="15.6" x14ac:dyDescent="0.3"/>
  <cols>
    <col min="1" max="2" width="10.796875" style="10"/>
  </cols>
  <sheetData>
    <row r="1" spans="1:2" x14ac:dyDescent="0.3">
      <c r="A1" s="10" t="s">
        <v>1</v>
      </c>
      <c r="B1" s="10" t="s">
        <v>2</v>
      </c>
    </row>
    <row r="2" spans="1:2" x14ac:dyDescent="0.3">
      <c r="A2" s="196" t="s">
        <v>3</v>
      </c>
      <c r="B2" s="196"/>
    </row>
    <row r="3" spans="1:2" x14ac:dyDescent="0.3">
      <c r="A3" s="10">
        <f>-2</f>
        <v>-2</v>
      </c>
      <c r="B3" s="10">
        <f>IF(A3&lt;=-1,((1+ABS(A3))/(1+A3+A3^2)/(1/3)),(((1-COS(2*A3))/2)*(SQRT(1+A3))))</f>
        <v>3</v>
      </c>
    </row>
    <row r="4" spans="1:2" x14ac:dyDescent="0.3">
      <c r="A4" s="10">
        <f>A3+0.5</f>
        <v>-1.5</v>
      </c>
      <c r="B4" s="10">
        <f t="shared" ref="B4:B11" si="0">IF(A4&lt;=-1,((1+ABS(A4))/(1+A4+A4^2)/(1/3)),(((1-COS(2*A4))/2)*(SQRT(1+A4))))</f>
        <v>4.2857142857142865</v>
      </c>
    </row>
    <row r="5" spans="1:2" x14ac:dyDescent="0.3">
      <c r="A5" s="10">
        <f t="shared" ref="A5:A11" si="1">A4+0.5</f>
        <v>-1</v>
      </c>
      <c r="B5" s="10">
        <f t="shared" si="0"/>
        <v>6</v>
      </c>
    </row>
    <row r="6" spans="1:2" x14ac:dyDescent="0.3">
      <c r="A6" s="10">
        <f t="shared" si="1"/>
        <v>-0.5</v>
      </c>
      <c r="B6" s="10">
        <f t="shared" si="0"/>
        <v>0.16252767840822888</v>
      </c>
    </row>
    <row r="7" spans="1:2" x14ac:dyDescent="0.3">
      <c r="A7" s="10">
        <f t="shared" si="1"/>
        <v>0</v>
      </c>
      <c r="B7" s="10">
        <f t="shared" si="0"/>
        <v>0</v>
      </c>
    </row>
    <row r="8" spans="1:2" x14ac:dyDescent="0.3">
      <c r="A8" s="10">
        <f t="shared" si="1"/>
        <v>0.5</v>
      </c>
      <c r="B8" s="10">
        <f t="shared" si="0"/>
        <v>0.28150619663926757</v>
      </c>
    </row>
    <row r="9" spans="1:2" x14ac:dyDescent="0.3">
      <c r="A9" s="10">
        <f t="shared" si="1"/>
        <v>1</v>
      </c>
      <c r="B9" s="10">
        <f t="shared" si="0"/>
        <v>1.0013670312783618</v>
      </c>
    </row>
    <row r="10" spans="1:2" x14ac:dyDescent="0.3">
      <c r="A10" s="10">
        <f t="shared" si="1"/>
        <v>1.5</v>
      </c>
      <c r="B10" s="10">
        <f t="shared" si="0"/>
        <v>1.5732272039755721</v>
      </c>
    </row>
    <row r="11" spans="1:2" x14ac:dyDescent="0.3">
      <c r="A11" s="10">
        <f t="shared" si="1"/>
        <v>2</v>
      </c>
      <c r="B11" s="10">
        <f t="shared" si="0"/>
        <v>1.4320973844739706</v>
      </c>
    </row>
    <row r="12" spans="1:2" x14ac:dyDescent="0.3">
      <c r="A12" s="196" t="s">
        <v>4</v>
      </c>
      <c r="B12" s="196"/>
    </row>
    <row r="13" spans="1:2" x14ac:dyDescent="0.3">
      <c r="A13" s="10">
        <f>-2</f>
        <v>-2</v>
      </c>
      <c r="B13" s="10">
        <f>IF(A13&lt;=-1,((1+ABS(A13))/(1+A13+A13^2)/(1/3)),(((1-COS(2*A13))/2)*(SQRT(1+A13))))</f>
        <v>3</v>
      </c>
    </row>
    <row r="14" spans="1:2" x14ac:dyDescent="0.3">
      <c r="A14" s="10">
        <f>A13+0.2</f>
        <v>-1.8</v>
      </c>
      <c r="B14" s="10">
        <f t="shared" ref="B14:B33" si="2">IF(A14&lt;=-1,((1+ABS(A14))/(1+A14+A14^2)/(1/3)),(((1-COS(2*A14))/2)*(SQRT(1+A14))))</f>
        <v>3.4426229508196715</v>
      </c>
    </row>
    <row r="15" spans="1:2" x14ac:dyDescent="0.3">
      <c r="A15" s="10">
        <f t="shared" ref="A15:A33" si="3">A14+0.2</f>
        <v>-1.6</v>
      </c>
      <c r="B15" s="10">
        <f t="shared" si="2"/>
        <v>3.9795918367346932</v>
      </c>
    </row>
    <row r="16" spans="1:2" x14ac:dyDescent="0.3">
      <c r="A16" s="10">
        <f t="shared" si="3"/>
        <v>-1.4000000000000001</v>
      </c>
      <c r="B16" s="10">
        <f t="shared" si="2"/>
        <v>4.615384615384615</v>
      </c>
    </row>
    <row r="17" spans="1:2" x14ac:dyDescent="0.3">
      <c r="A17" s="10">
        <f t="shared" si="3"/>
        <v>-1.2000000000000002</v>
      </c>
      <c r="B17" s="10">
        <f t="shared" si="2"/>
        <v>5.32258064516129</v>
      </c>
    </row>
    <row r="18" spans="1:2" x14ac:dyDescent="0.3">
      <c r="A18" s="10">
        <f t="shared" si="3"/>
        <v>-1.0000000000000002</v>
      </c>
      <c r="B18" s="10">
        <f t="shared" si="2"/>
        <v>5.9999999999999991</v>
      </c>
    </row>
    <row r="19" spans="1:2" x14ac:dyDescent="0.3">
      <c r="A19" s="10">
        <f t="shared" si="3"/>
        <v>-0.80000000000000027</v>
      </c>
      <c r="B19" s="10">
        <f t="shared" si="2"/>
        <v>0.23013600942759921</v>
      </c>
    </row>
    <row r="20" spans="1:2" x14ac:dyDescent="0.3">
      <c r="A20" s="10">
        <f t="shared" si="3"/>
        <v>-0.60000000000000031</v>
      </c>
      <c r="B20" s="10">
        <f t="shared" si="2"/>
        <v>0.20164018281980173</v>
      </c>
    </row>
    <row r="21" spans="1:2" x14ac:dyDescent="0.3">
      <c r="A21" s="10">
        <f t="shared" si="3"/>
        <v>-0.4000000000000003</v>
      </c>
      <c r="B21" s="10">
        <f t="shared" si="2"/>
        <v>0.11746498637148756</v>
      </c>
    </row>
    <row r="22" spans="1:2" x14ac:dyDescent="0.3">
      <c r="A22" s="10">
        <f t="shared" si="3"/>
        <v>-0.20000000000000029</v>
      </c>
      <c r="B22" s="10">
        <f t="shared" si="2"/>
        <v>3.530259669716259E-2</v>
      </c>
    </row>
    <row r="23" spans="1:2" x14ac:dyDescent="0.3">
      <c r="A23" s="10">
        <f t="shared" si="3"/>
        <v>-2.7755575615628914E-16</v>
      </c>
      <c r="B23" s="10">
        <f t="shared" si="2"/>
        <v>0</v>
      </c>
    </row>
    <row r="24" spans="1:2" x14ac:dyDescent="0.3">
      <c r="A24" s="10">
        <f t="shared" si="3"/>
        <v>0.19999999999999973</v>
      </c>
      <c r="B24" s="10">
        <f t="shared" si="2"/>
        <v>4.323667425165529E-2</v>
      </c>
    </row>
    <row r="25" spans="1:2" x14ac:dyDescent="0.3">
      <c r="A25" s="10">
        <f t="shared" si="3"/>
        <v>0.39999999999999974</v>
      </c>
      <c r="B25" s="10">
        <f t="shared" si="2"/>
        <v>0.17943073051809885</v>
      </c>
    </row>
    <row r="26" spans="1:2" x14ac:dyDescent="0.3">
      <c r="A26" s="10">
        <f t="shared" si="3"/>
        <v>0.59999999999999976</v>
      </c>
      <c r="B26" s="10">
        <f t="shared" si="2"/>
        <v>0.40328036563960279</v>
      </c>
    </row>
    <row r="27" spans="1:2" x14ac:dyDescent="0.3">
      <c r="A27" s="10">
        <f t="shared" si="3"/>
        <v>0.79999999999999982</v>
      </c>
      <c r="B27" s="10">
        <f t="shared" si="2"/>
        <v>0.69040802828279757</v>
      </c>
    </row>
    <row r="28" spans="1:2" x14ac:dyDescent="0.3">
      <c r="A28" s="10">
        <f t="shared" si="3"/>
        <v>0.99999999999999978</v>
      </c>
      <c r="B28" s="10">
        <f t="shared" si="2"/>
        <v>1.0013670312783614</v>
      </c>
    </row>
    <row r="29" spans="1:2" x14ac:dyDescent="0.3">
      <c r="A29" s="10">
        <f>A28+0.2</f>
        <v>1.1999999999999997</v>
      </c>
      <c r="B29" s="10">
        <f t="shared" si="2"/>
        <v>1.2884856644686495</v>
      </c>
    </row>
    <row r="30" spans="1:2" x14ac:dyDescent="0.3">
      <c r="A30" s="10">
        <f t="shared" si="3"/>
        <v>1.3999999999999997</v>
      </c>
      <c r="B30" s="10">
        <f t="shared" si="2"/>
        <v>1.5044389560083398</v>
      </c>
    </row>
    <row r="31" spans="1:2" x14ac:dyDescent="0.3">
      <c r="A31" s="10">
        <f t="shared" si="3"/>
        <v>1.5999999999999996</v>
      </c>
      <c r="B31" s="10">
        <f t="shared" si="2"/>
        <v>1.611076753953576</v>
      </c>
    </row>
    <row r="32" spans="1:2" x14ac:dyDescent="0.3">
      <c r="A32" s="10">
        <f t="shared" si="3"/>
        <v>1.7999999999999996</v>
      </c>
      <c r="B32" s="10">
        <f t="shared" si="2"/>
        <v>1.5869419469388588</v>
      </c>
    </row>
    <row r="33" spans="1:2" x14ac:dyDescent="0.3">
      <c r="A33" s="10">
        <f t="shared" si="3"/>
        <v>1.9999999999999996</v>
      </c>
      <c r="B33" s="10">
        <f t="shared" si="2"/>
        <v>1.4320973844739713</v>
      </c>
    </row>
    <row r="34" spans="1:2" x14ac:dyDescent="0.3">
      <c r="A34" s="196" t="s">
        <v>5</v>
      </c>
      <c r="B34" s="196"/>
    </row>
    <row r="35" spans="1:2" x14ac:dyDescent="0.3">
      <c r="A35" s="10">
        <f>-2</f>
        <v>-2</v>
      </c>
      <c r="B35" s="10">
        <f>IF(A35&lt;=-1,((1+ABS(A35))/(1+A35+A35^2)/(1/3)),(((1-COS(2*A35))/2)*(SQRT(1+A35))))</f>
        <v>3</v>
      </c>
    </row>
    <row r="36" spans="1:2" x14ac:dyDescent="0.3">
      <c r="A36" s="10">
        <f>A35+0.1</f>
        <v>-1.9</v>
      </c>
      <c r="B36" s="10">
        <f t="shared" ref="B36:B75" si="4">IF(A36&lt;=-1,((1+ABS(A36))/(1+A36+A36^2)/(1/3)),(((1-COS(2*A36))/2)*(SQRT(1+A36))))</f>
        <v>3.2103321033210332</v>
      </c>
    </row>
    <row r="37" spans="1:2" x14ac:dyDescent="0.3">
      <c r="A37" s="10">
        <f t="shared" ref="A37:A75" si="5">A36+0.1</f>
        <v>-1.7999999999999998</v>
      </c>
      <c r="B37" s="10">
        <f t="shared" si="4"/>
        <v>3.4426229508196728</v>
      </c>
    </row>
    <row r="38" spans="1:2" x14ac:dyDescent="0.3">
      <c r="A38" s="10">
        <f t="shared" si="5"/>
        <v>-1.6999999999999997</v>
      </c>
      <c r="B38" s="10">
        <f t="shared" si="4"/>
        <v>3.6986301369863024</v>
      </c>
    </row>
    <row r="39" spans="1:2" x14ac:dyDescent="0.3">
      <c r="A39" s="10">
        <f t="shared" si="5"/>
        <v>-1.5999999999999996</v>
      </c>
      <c r="B39" s="10">
        <f t="shared" si="4"/>
        <v>3.979591836734695</v>
      </c>
    </row>
    <row r="40" spans="1:2" x14ac:dyDescent="0.3">
      <c r="A40" s="10">
        <f t="shared" si="5"/>
        <v>-1.4999999999999996</v>
      </c>
      <c r="B40" s="10">
        <f t="shared" si="4"/>
        <v>4.2857142857142874</v>
      </c>
    </row>
    <row r="41" spans="1:2" x14ac:dyDescent="0.3">
      <c r="A41" s="10">
        <f t="shared" si="5"/>
        <v>-1.3999999999999995</v>
      </c>
      <c r="B41" s="10">
        <f t="shared" si="4"/>
        <v>4.6153846153846176</v>
      </c>
    </row>
    <row r="42" spans="1:2" x14ac:dyDescent="0.3">
      <c r="A42" s="10">
        <f t="shared" si="5"/>
        <v>-1.2999999999999994</v>
      </c>
      <c r="B42" s="10">
        <f t="shared" si="4"/>
        <v>4.9640287769784202</v>
      </c>
    </row>
    <row r="43" spans="1:2" x14ac:dyDescent="0.3">
      <c r="A43" s="10">
        <f t="shared" si="5"/>
        <v>-1.1999999999999993</v>
      </c>
      <c r="B43" s="10">
        <f t="shared" si="4"/>
        <v>5.3225806451612927</v>
      </c>
    </row>
    <row r="44" spans="1:2" x14ac:dyDescent="0.3">
      <c r="A44" s="10">
        <f t="shared" si="5"/>
        <v>-1.0999999999999992</v>
      </c>
      <c r="B44" s="10">
        <f t="shared" si="4"/>
        <v>5.675675675675679</v>
      </c>
    </row>
    <row r="45" spans="1:2" x14ac:dyDescent="0.3">
      <c r="A45" s="10">
        <f t="shared" si="5"/>
        <v>-0.99999999999999922</v>
      </c>
      <c r="B45" s="10">
        <f t="shared" si="4"/>
        <v>1.9739330827158538E-8</v>
      </c>
    </row>
    <row r="46" spans="1:2" x14ac:dyDescent="0.3">
      <c r="A46" s="10">
        <f t="shared" si="5"/>
        <v>-0.89999999999999925</v>
      </c>
      <c r="B46" s="10">
        <f t="shared" si="4"/>
        <v>0.19403768842798993</v>
      </c>
    </row>
    <row r="47" spans="1:2" x14ac:dyDescent="0.3">
      <c r="A47" s="10">
        <f t="shared" si="5"/>
        <v>-0.79999999999999927</v>
      </c>
      <c r="B47" s="10">
        <f t="shared" si="4"/>
        <v>0.23013600942759935</v>
      </c>
    </row>
    <row r="48" spans="1:2" x14ac:dyDescent="0.3">
      <c r="A48" s="10">
        <f t="shared" si="5"/>
        <v>-0.69999999999999929</v>
      </c>
      <c r="B48" s="10">
        <f t="shared" si="4"/>
        <v>0.22731385965199993</v>
      </c>
    </row>
    <row r="49" spans="1:2" x14ac:dyDescent="0.3">
      <c r="A49" s="10">
        <f t="shared" si="5"/>
        <v>-0.59999999999999931</v>
      </c>
      <c r="B49" s="10">
        <f t="shared" si="4"/>
        <v>0.20164018281980137</v>
      </c>
    </row>
    <row r="50" spans="1:2" x14ac:dyDescent="0.3">
      <c r="A50" s="10">
        <f t="shared" si="5"/>
        <v>-0.49999999999999933</v>
      </c>
      <c r="B50" s="10">
        <f t="shared" si="4"/>
        <v>0.1625276784082286</v>
      </c>
    </row>
    <row r="51" spans="1:2" x14ac:dyDescent="0.3">
      <c r="A51" s="10">
        <f t="shared" si="5"/>
        <v>-0.39999999999999936</v>
      </c>
      <c r="B51" s="10">
        <f t="shared" si="4"/>
        <v>0.11746498637148707</v>
      </c>
    </row>
    <row r="52" spans="1:2" x14ac:dyDescent="0.3">
      <c r="A52" s="10">
        <f t="shared" si="5"/>
        <v>-0.29999999999999938</v>
      </c>
      <c r="B52" s="10">
        <f t="shared" si="4"/>
        <v>7.3067354532113007E-2</v>
      </c>
    </row>
    <row r="53" spans="1:2" x14ac:dyDescent="0.3">
      <c r="A53" s="10">
        <f t="shared" si="5"/>
        <v>-0.19999999999999937</v>
      </c>
      <c r="B53" s="10">
        <f t="shared" si="4"/>
        <v>3.5302596697162313E-2</v>
      </c>
    </row>
    <row r="54" spans="1:2" x14ac:dyDescent="0.3">
      <c r="A54" s="10">
        <f t="shared" si="5"/>
        <v>-9.9999999999999367E-2</v>
      </c>
      <c r="B54" s="10">
        <f t="shared" si="4"/>
        <v>9.4552523375019404E-3</v>
      </c>
    </row>
    <row r="55" spans="1:2" x14ac:dyDescent="0.3">
      <c r="A55" s="10">
        <f t="shared" si="5"/>
        <v>6.3837823915946501E-16</v>
      </c>
      <c r="B55" s="10">
        <f t="shared" si="4"/>
        <v>0</v>
      </c>
    </row>
    <row r="56" spans="1:2" x14ac:dyDescent="0.3">
      <c r="A56" s="10">
        <f t="shared" si="5"/>
        <v>0.10000000000000064</v>
      </c>
      <c r="B56" s="10">
        <f t="shared" si="4"/>
        <v>1.0453174767208492E-2</v>
      </c>
    </row>
    <row r="57" spans="1:2" x14ac:dyDescent="0.3">
      <c r="A57" s="10">
        <f t="shared" si="5"/>
        <v>0.20000000000000065</v>
      </c>
      <c r="B57" s="10">
        <f t="shared" si="4"/>
        <v>4.3236674251655734E-2</v>
      </c>
    </row>
    <row r="58" spans="1:2" x14ac:dyDescent="0.3">
      <c r="A58" s="10">
        <f t="shared" si="5"/>
        <v>0.30000000000000066</v>
      </c>
      <c r="B58" s="10">
        <f t="shared" si="4"/>
        <v>9.9574019760018992E-2</v>
      </c>
    </row>
    <row r="59" spans="1:2" x14ac:dyDescent="0.3">
      <c r="A59" s="10">
        <f t="shared" si="5"/>
        <v>0.40000000000000069</v>
      </c>
      <c r="B59" s="10">
        <f t="shared" si="4"/>
        <v>0.17943073051809971</v>
      </c>
    </row>
    <row r="60" spans="1:2" x14ac:dyDescent="0.3">
      <c r="A60" s="10">
        <f t="shared" si="5"/>
        <v>0.50000000000000067</v>
      </c>
      <c r="B60" s="10">
        <f t="shared" si="4"/>
        <v>0.2815061966392684</v>
      </c>
    </row>
    <row r="61" spans="1:2" x14ac:dyDescent="0.3">
      <c r="A61" s="10">
        <f t="shared" si="5"/>
        <v>0.60000000000000064</v>
      </c>
      <c r="B61" s="10">
        <f t="shared" si="4"/>
        <v>0.40328036563960401</v>
      </c>
    </row>
    <row r="62" spans="1:2" x14ac:dyDescent="0.3">
      <c r="A62" s="10">
        <f t="shared" si="5"/>
        <v>0.70000000000000062</v>
      </c>
      <c r="B62" s="10">
        <f t="shared" si="4"/>
        <v>0.5411152198401985</v>
      </c>
    </row>
    <row r="63" spans="1:2" x14ac:dyDescent="0.3">
      <c r="A63" s="10">
        <f t="shared" si="5"/>
        <v>0.8000000000000006</v>
      </c>
      <c r="B63" s="10">
        <f t="shared" si="4"/>
        <v>0.69040802828279868</v>
      </c>
    </row>
    <row r="64" spans="1:2" x14ac:dyDescent="0.3">
      <c r="A64" s="10">
        <f t="shared" si="5"/>
        <v>0.90000000000000058</v>
      </c>
      <c r="B64" s="10">
        <f t="shared" si="4"/>
        <v>0.8457906750958385</v>
      </c>
    </row>
    <row r="65" spans="1:2" x14ac:dyDescent="0.3">
      <c r="A65" s="10">
        <f t="shared" si="5"/>
        <v>1.0000000000000007</v>
      </c>
      <c r="B65" s="10">
        <f t="shared" si="4"/>
        <v>1.0013670312783627</v>
      </c>
    </row>
    <row r="66" spans="1:2" x14ac:dyDescent="0.3">
      <c r="A66" s="10">
        <f t="shared" si="5"/>
        <v>1.1000000000000008</v>
      </c>
      <c r="B66" s="10">
        <f t="shared" si="4"/>
        <v>1.150978407594504</v>
      </c>
    </row>
    <row r="67" spans="1:2" x14ac:dyDescent="0.3">
      <c r="A67" s="10">
        <f t="shared" si="5"/>
        <v>1.2000000000000008</v>
      </c>
      <c r="B67" s="10">
        <f t="shared" si="4"/>
        <v>1.2884856644686509</v>
      </c>
    </row>
    <row r="68" spans="1:2" x14ac:dyDescent="0.3">
      <c r="A68" s="10">
        <f t="shared" si="5"/>
        <v>1.3000000000000009</v>
      </c>
      <c r="B68" s="10">
        <f t="shared" si="4"/>
        <v>1.4080556130256896</v>
      </c>
    </row>
    <row r="69" spans="1:2" x14ac:dyDescent="0.3">
      <c r="A69" s="10">
        <f t="shared" si="5"/>
        <v>1.400000000000001</v>
      </c>
      <c r="B69" s="10">
        <f t="shared" si="4"/>
        <v>1.5044389560083411</v>
      </c>
    </row>
    <row r="70" spans="1:2" x14ac:dyDescent="0.3">
      <c r="A70" s="10">
        <f t="shared" si="5"/>
        <v>1.5000000000000011</v>
      </c>
      <c r="B70" s="10">
        <f t="shared" si="4"/>
        <v>1.5732272039755726</v>
      </c>
    </row>
    <row r="71" spans="1:2" x14ac:dyDescent="0.3">
      <c r="A71" s="10">
        <f t="shared" si="5"/>
        <v>1.6000000000000012</v>
      </c>
      <c r="B71" s="10">
        <f t="shared" si="4"/>
        <v>1.6110767539535762</v>
      </c>
    </row>
    <row r="72" spans="1:2" x14ac:dyDescent="0.3">
      <c r="A72" s="10">
        <f t="shared" si="5"/>
        <v>1.7000000000000013</v>
      </c>
      <c r="B72" s="10">
        <f t="shared" si="4"/>
        <v>1.6158896042042405</v>
      </c>
    </row>
    <row r="73" spans="1:2" x14ac:dyDescent="0.3">
      <c r="A73" s="10">
        <f t="shared" si="5"/>
        <v>1.8000000000000014</v>
      </c>
      <c r="B73" s="10">
        <f t="shared" si="4"/>
        <v>1.5869419469388579</v>
      </c>
    </row>
    <row r="74" spans="1:2" x14ac:dyDescent="0.3">
      <c r="A74" s="10">
        <f t="shared" si="5"/>
        <v>1.9000000000000015</v>
      </c>
      <c r="B74" s="10">
        <f t="shared" si="4"/>
        <v>1.5249540567544873</v>
      </c>
    </row>
    <row r="75" spans="1:2" x14ac:dyDescent="0.3">
      <c r="A75" s="10">
        <f t="shared" si="5"/>
        <v>2.0000000000000013</v>
      </c>
      <c r="B75" s="10">
        <f t="shared" si="4"/>
        <v>1.4320973844739691</v>
      </c>
    </row>
  </sheetData>
  <mergeCells count="3">
    <mergeCell ref="A2:B2"/>
    <mergeCell ref="A12:B12"/>
    <mergeCell ref="A34:B34"/>
  </mergeCells>
  <pageMargins left="0.7" right="0.7" top="0.75" bottom="0.75" header="0.3" footer="0.3"/>
  <pageSetup paperSize="9"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07E95-EB0D-7947-987A-27CEE4F0A410}">
  <dimension ref="A1:N514"/>
  <sheetViews>
    <sheetView zoomScaleNormal="100" workbookViewId="0">
      <pane ySplit="4" topLeftCell="A5" activePane="bottomLeft" state="frozen"/>
      <selection pane="bottomLeft" activeCell="A13" sqref="A13"/>
    </sheetView>
  </sheetViews>
  <sheetFormatPr defaultColWidth="11" defaultRowHeight="15.6" x14ac:dyDescent="0.3"/>
  <cols>
    <col min="1" max="1" width="11" style="11"/>
    <col min="2" max="2" width="18.69921875" style="11" customWidth="1"/>
    <col min="3" max="3" width="11" style="11"/>
    <col min="4" max="4" width="12.19921875" style="11" customWidth="1"/>
    <col min="5" max="5" width="15.296875" style="11" customWidth="1"/>
    <col min="6" max="8" width="11" style="11"/>
    <col min="9" max="9" width="14" style="11" customWidth="1"/>
    <col min="10" max="10" width="15.796875" style="11" customWidth="1"/>
    <col min="11" max="11" width="11" style="11" customWidth="1"/>
    <col min="12" max="12" width="11" style="11"/>
    <col min="13" max="14" width="13.296875" style="11" customWidth="1"/>
    <col min="15" max="16384" width="11" style="11"/>
  </cols>
  <sheetData>
    <row r="1" spans="1:12" s="55" customFormat="1" x14ac:dyDescent="0.3"/>
    <row r="3" spans="1:12" ht="16.2" thickBot="1" x14ac:dyDescent="0.35"/>
    <row r="4" spans="1:12" x14ac:dyDescent="0.3">
      <c r="A4" s="59" t="s">
        <v>0</v>
      </c>
      <c r="B4" s="60" t="s">
        <v>8</v>
      </c>
      <c r="C4" s="56"/>
      <c r="D4" s="57" t="s">
        <v>38</v>
      </c>
      <c r="E4" s="58" t="s">
        <v>37</v>
      </c>
      <c r="F4" s="61" t="s">
        <v>169</v>
      </c>
      <c r="G4" s="74" t="s">
        <v>170</v>
      </c>
      <c r="H4" s="58" t="s">
        <v>13</v>
      </c>
      <c r="I4" s="58" t="s">
        <v>166</v>
      </c>
      <c r="J4" s="58" t="s">
        <v>168</v>
      </c>
      <c r="K4" s="71" t="s">
        <v>6</v>
      </c>
      <c r="L4" s="57" t="s">
        <v>7</v>
      </c>
    </row>
    <row r="5" spans="1:12" ht="16.2" thickBot="1" x14ac:dyDescent="0.35">
      <c r="A5" s="51">
        <v>-2.6</v>
      </c>
      <c r="B5" s="52">
        <f>$D$9*(A5^4)+($D$8*(A5^3))+($D$7*(A5^2))+$D$6*A5+$D$5</f>
        <v>42.049600000000005</v>
      </c>
      <c r="C5" s="62" t="s">
        <v>165</v>
      </c>
      <c r="D5" s="63">
        <v>-5</v>
      </c>
      <c r="E5" s="64">
        <f>ABS(D5)</f>
        <v>5</v>
      </c>
      <c r="F5" s="65">
        <f>(1/((1+(MAX($E$5:$E$9)))/($E$5)))</f>
        <v>0.55555555555555558</v>
      </c>
      <c r="G5" s="65">
        <f>1+(MAX($E$5:$E$9))/$E$5</f>
        <v>2.6</v>
      </c>
      <c r="H5" s="66">
        <f>ABS(($G$5-$F$5)/$J$5)</f>
        <v>0.20444444444444443</v>
      </c>
      <c r="I5" s="66">
        <v>1.0000000000000001E-5</v>
      </c>
      <c r="J5" s="75">
        <v>10</v>
      </c>
      <c r="K5" s="197" t="s">
        <v>167</v>
      </c>
      <c r="L5" s="198"/>
    </row>
    <row r="6" spans="1:12" ht="16.2" thickBot="1" x14ac:dyDescent="0.35">
      <c r="A6" s="51">
        <f>A5+$H$5</f>
        <v>-2.3955555555555557</v>
      </c>
      <c r="B6" s="52">
        <f t="shared" ref="B6:B30" si="0">$D$9*(A6^4)+($D$8*(A6^3))+($D$7*(A6^2))+$D$6*A6+$D$5</f>
        <v>32.59998677899101</v>
      </c>
      <c r="C6" s="62" t="s">
        <v>9</v>
      </c>
      <c r="D6" s="63">
        <v>0</v>
      </c>
      <c r="E6" s="64">
        <f t="shared" ref="E6:E9" si="1">ABS(D6)</f>
        <v>0</v>
      </c>
      <c r="F6" s="69"/>
      <c r="G6" s="69"/>
      <c r="H6" s="69"/>
      <c r="I6" s="69"/>
      <c r="J6" s="69"/>
      <c r="K6" s="51">
        <v>-0.96444444444444466</v>
      </c>
      <c r="L6" s="51">
        <v>0.67111111111111077</v>
      </c>
    </row>
    <row r="7" spans="1:12" x14ac:dyDescent="0.3">
      <c r="A7" s="51">
        <f t="shared" ref="A7:A30" si="2">A6+$H$5</f>
        <v>-2.1911111111111112</v>
      </c>
      <c r="B7" s="52">
        <f t="shared" si="0"/>
        <v>24.898673661112639</v>
      </c>
      <c r="C7" s="62" t="s">
        <v>10</v>
      </c>
      <c r="D7" s="63">
        <v>8</v>
      </c>
      <c r="E7" s="64">
        <f t="shared" si="1"/>
        <v>8</v>
      </c>
      <c r="F7" s="69"/>
      <c r="G7" s="69"/>
      <c r="H7" s="69"/>
      <c r="I7" s="69"/>
      <c r="J7" s="69"/>
      <c r="K7" s="199"/>
      <c r="L7" s="199"/>
    </row>
    <row r="8" spans="1:12" ht="16.2" thickBot="1" x14ac:dyDescent="0.35">
      <c r="A8" s="51">
        <f t="shared" si="2"/>
        <v>-1.9866666666666668</v>
      </c>
      <c r="B8" s="52">
        <f t="shared" si="0"/>
        <v>18.629143735308645</v>
      </c>
      <c r="C8" s="62" t="s">
        <v>11</v>
      </c>
      <c r="D8" s="63">
        <v>3</v>
      </c>
      <c r="E8" s="64">
        <f t="shared" si="1"/>
        <v>3</v>
      </c>
      <c r="G8" s="69"/>
      <c r="H8" s="69"/>
      <c r="I8" s="69"/>
      <c r="J8" s="69"/>
      <c r="K8" s="70"/>
      <c r="L8" s="53"/>
    </row>
    <row r="9" spans="1:12" ht="16.2" thickBot="1" x14ac:dyDescent="0.35">
      <c r="A9" s="51">
        <f t="shared" si="2"/>
        <v>-1.7822222222222224</v>
      </c>
      <c r="B9" s="52">
        <f t="shared" si="0"/>
        <v>13.516808896595034</v>
      </c>
      <c r="C9" s="67" t="s">
        <v>12</v>
      </c>
      <c r="D9" s="72">
        <v>1</v>
      </c>
      <c r="E9" s="73">
        <f t="shared" si="1"/>
        <v>1</v>
      </c>
      <c r="G9" s="69"/>
      <c r="H9" s="69"/>
      <c r="I9" s="69"/>
      <c r="J9" s="69"/>
    </row>
    <row r="10" spans="1:12" x14ac:dyDescent="0.3">
      <c r="A10" s="51">
        <f t="shared" si="2"/>
        <v>-1.5777777777777779</v>
      </c>
      <c r="B10" s="52">
        <f t="shared" si="0"/>
        <v>9.3290098460600568</v>
      </c>
      <c r="G10" s="69"/>
      <c r="H10" s="69"/>
      <c r="I10" s="69"/>
      <c r="J10" s="69"/>
    </row>
    <row r="11" spans="1:12" x14ac:dyDescent="0.3">
      <c r="A11" s="51">
        <f t="shared" si="2"/>
        <v>-1.3733333333333335</v>
      </c>
      <c r="B11" s="52">
        <f t="shared" si="0"/>
        <v>5.8750160908641984</v>
      </c>
      <c r="G11" s="69"/>
      <c r="H11" s="69"/>
      <c r="I11" s="69"/>
      <c r="J11" s="69"/>
      <c r="K11" s="76"/>
    </row>
    <row r="12" spans="1:12" x14ac:dyDescent="0.3">
      <c r="A12" s="51">
        <f t="shared" si="2"/>
        <v>-1.1688888888888891</v>
      </c>
      <c r="B12" s="52">
        <f t="shared" si="0"/>
        <v>3.0060259442402106</v>
      </c>
      <c r="G12" s="69"/>
      <c r="H12" s="69"/>
      <c r="I12" s="69"/>
      <c r="J12" s="69"/>
      <c r="K12" s="69"/>
    </row>
    <row r="13" spans="1:12" x14ac:dyDescent="0.3">
      <c r="A13" s="167">
        <v>8</v>
      </c>
      <c r="B13" s="230">
        <f t="shared" si="0"/>
        <v>6139</v>
      </c>
      <c r="G13" s="69"/>
      <c r="H13" s="69"/>
      <c r="I13" s="69"/>
      <c r="J13" s="69"/>
      <c r="K13" s="69"/>
    </row>
    <row r="14" spans="1:12" x14ac:dyDescent="0.3">
      <c r="A14" s="167">
        <f t="shared" si="2"/>
        <v>8.2044444444444444</v>
      </c>
      <c r="B14" s="230">
        <f t="shared" si="0"/>
        <v>6721.3259970198696</v>
      </c>
      <c r="G14" s="69"/>
      <c r="H14" s="69"/>
      <c r="I14" s="69"/>
      <c r="J14" s="69"/>
    </row>
    <row r="15" spans="1:12" x14ac:dyDescent="0.3">
      <c r="A15" s="167">
        <f t="shared" si="2"/>
        <v>8.4088888888888889</v>
      </c>
      <c r="B15" s="229">
        <f t="shared" si="0"/>
        <v>7344.2590684770248</v>
      </c>
      <c r="G15" s="69"/>
      <c r="H15" s="69"/>
      <c r="I15" s="69"/>
      <c r="J15" s="69"/>
    </row>
    <row r="16" spans="1:12" x14ac:dyDescent="0.3">
      <c r="A16" s="167">
        <f t="shared" si="2"/>
        <v>8.6133333333333333</v>
      </c>
      <c r="B16" s="229">
        <f t="shared" si="0"/>
        <v>8009.6566149056789</v>
      </c>
      <c r="E16" s="69"/>
      <c r="F16" s="69"/>
      <c r="G16" s="69"/>
      <c r="H16" s="69"/>
      <c r="I16" s="69"/>
      <c r="J16" s="69"/>
    </row>
    <row r="17" spans="1:14" x14ac:dyDescent="0.3">
      <c r="A17" s="167">
        <f t="shared" si="2"/>
        <v>8.8177777777777777</v>
      </c>
      <c r="B17" s="229">
        <f t="shared" si="0"/>
        <v>8719.4179656461147</v>
      </c>
      <c r="E17" s="69"/>
      <c r="F17" s="69"/>
      <c r="G17" s="69"/>
      <c r="H17" s="69"/>
      <c r="I17" s="69"/>
      <c r="J17" s="69"/>
    </row>
    <row r="18" spans="1:14" x14ac:dyDescent="0.3">
      <c r="A18" s="167">
        <f t="shared" si="2"/>
        <v>9.0222222222222221</v>
      </c>
      <c r="B18" s="229">
        <f t="shared" si="0"/>
        <v>9475.4843788446888</v>
      </c>
      <c r="G18" s="69"/>
      <c r="H18" s="69"/>
      <c r="I18" s="69"/>
      <c r="J18" s="69"/>
    </row>
    <row r="19" spans="1:14" x14ac:dyDescent="0.3">
      <c r="A19" s="167">
        <f t="shared" si="2"/>
        <v>9.2266666666666666</v>
      </c>
      <c r="B19" s="229">
        <f t="shared" si="0"/>
        <v>10279.839041453826</v>
      </c>
      <c r="L19" s="68"/>
    </row>
    <row r="20" spans="1:14" x14ac:dyDescent="0.3">
      <c r="A20" s="167">
        <f t="shared" si="2"/>
        <v>9.431111111111111</v>
      </c>
      <c r="B20" s="229">
        <f t="shared" si="0"/>
        <v>11134.507069232033</v>
      </c>
    </row>
    <row r="21" spans="1:14" x14ac:dyDescent="0.3">
      <c r="A21" s="167">
        <v>0.68873637007368049</v>
      </c>
      <c r="B21" s="230">
        <f t="shared" si="0"/>
        <v>-7.8169035688802069E-9</v>
      </c>
    </row>
    <row r="22" spans="1:14" x14ac:dyDescent="0.3">
      <c r="A22" s="167">
        <f t="shared" si="2"/>
        <v>0.89318081451812492</v>
      </c>
      <c r="B22" s="230">
        <f t="shared" si="0"/>
        <v>4.156279698380974</v>
      </c>
      <c r="C22" s="68"/>
      <c r="D22" s="68"/>
      <c r="E22" s="68"/>
      <c r="G22" s="68"/>
      <c r="H22" s="68"/>
      <c r="I22" s="68"/>
    </row>
    <row r="23" spans="1:14" x14ac:dyDescent="0.3">
      <c r="A23" s="51">
        <f t="shared" si="2"/>
        <v>1.0976252589625695</v>
      </c>
      <c r="B23" s="52">
        <f t="shared" si="0"/>
        <v>10.056942294668637</v>
      </c>
    </row>
    <row r="24" spans="1:14" x14ac:dyDescent="0.3">
      <c r="A24" s="51">
        <f t="shared" si="2"/>
        <v>1.3020697034070139</v>
      </c>
      <c r="B24" s="52">
        <f t="shared" si="0"/>
        <v>18.059946470724633</v>
      </c>
    </row>
    <row r="25" spans="1:14" x14ac:dyDescent="0.3">
      <c r="A25" s="51">
        <f t="shared" si="2"/>
        <v>1.5065141478514583</v>
      </c>
      <c r="B25" s="52">
        <f t="shared" si="0"/>
        <v>28.56517972229976</v>
      </c>
    </row>
    <row r="26" spans="1:14" x14ac:dyDescent="0.3">
      <c r="A26" s="51">
        <f t="shared" si="2"/>
        <v>1.7109585922959027</v>
      </c>
      <c r="B26" s="52">
        <f t="shared" si="0"/>
        <v>42.01445835121708</v>
      </c>
    </row>
    <row r="27" spans="1:14" x14ac:dyDescent="0.3">
      <c r="A27" s="51">
        <f t="shared" si="2"/>
        <v>1.9154030367403472</v>
      </c>
      <c r="B27" s="52">
        <f t="shared" si="0"/>
        <v>58.891527465371851</v>
      </c>
    </row>
    <row r="28" spans="1:14" x14ac:dyDescent="0.3">
      <c r="A28" s="51">
        <f t="shared" si="2"/>
        <v>2.1198474811847916</v>
      </c>
      <c r="B28" s="52">
        <f t="shared" si="0"/>
        <v>79.722060978731662</v>
      </c>
    </row>
    <row r="29" spans="1:14" s="68" customFormat="1" x14ac:dyDescent="0.3">
      <c r="A29" s="51">
        <f t="shared" si="2"/>
        <v>2.324291925629236</v>
      </c>
      <c r="B29" s="52">
        <f t="shared" si="0"/>
        <v>105.07366161133623</v>
      </c>
      <c r="C29" s="11"/>
      <c r="G29" s="11"/>
      <c r="H29" s="11"/>
      <c r="I29" s="11"/>
      <c r="M29" s="11"/>
      <c r="N29" s="11"/>
    </row>
    <row r="30" spans="1:14" x14ac:dyDescent="0.3">
      <c r="A30" s="168">
        <f t="shared" si="2"/>
        <v>2.5287363700736805</v>
      </c>
      <c r="B30" s="169">
        <f t="shared" si="0"/>
        <v>135.55586088929766</v>
      </c>
    </row>
    <row r="31" spans="1:14" x14ac:dyDescent="0.3">
      <c r="A31" s="69"/>
      <c r="B31" s="69"/>
    </row>
    <row r="32" spans="1:14" x14ac:dyDescent="0.3">
      <c r="A32" s="69"/>
      <c r="B32" s="69"/>
      <c r="C32" s="68"/>
      <c r="D32" s="68"/>
      <c r="E32" s="68"/>
      <c r="G32" s="68"/>
      <c r="H32" s="68"/>
      <c r="I32" s="68"/>
    </row>
    <row r="33" spans="1:11" x14ac:dyDescent="0.3">
      <c r="A33" s="69"/>
      <c r="B33" s="69"/>
    </row>
    <row r="34" spans="1:11" x14ac:dyDescent="0.3">
      <c r="A34" s="69"/>
      <c r="B34" s="69"/>
    </row>
    <row r="35" spans="1:11" x14ac:dyDescent="0.3">
      <c r="A35" s="69"/>
      <c r="B35" s="69"/>
    </row>
    <row r="36" spans="1:11" x14ac:dyDescent="0.3">
      <c r="A36" s="69"/>
      <c r="B36" s="69"/>
    </row>
    <row r="37" spans="1:11" x14ac:dyDescent="0.3">
      <c r="A37" s="69"/>
      <c r="B37" s="69"/>
    </row>
    <row r="38" spans="1:11" x14ac:dyDescent="0.3">
      <c r="A38" s="69"/>
      <c r="B38" s="69"/>
    </row>
    <row r="39" spans="1:11" x14ac:dyDescent="0.3">
      <c r="A39" s="69"/>
      <c r="B39" s="69"/>
      <c r="J39" s="68"/>
      <c r="K39" s="68"/>
    </row>
    <row r="40" spans="1:11" x14ac:dyDescent="0.3">
      <c r="A40" s="69"/>
      <c r="B40" s="69"/>
    </row>
    <row r="41" spans="1:11" x14ac:dyDescent="0.3">
      <c r="A41" s="69"/>
      <c r="B41" s="69"/>
    </row>
    <row r="42" spans="1:11" x14ac:dyDescent="0.3">
      <c r="A42" s="69"/>
      <c r="B42" s="69"/>
    </row>
    <row r="43" spans="1:11" x14ac:dyDescent="0.3">
      <c r="A43" s="69"/>
      <c r="B43" s="69"/>
    </row>
    <row r="44" spans="1:11" x14ac:dyDescent="0.3">
      <c r="A44" s="69"/>
      <c r="B44" s="69"/>
    </row>
    <row r="45" spans="1:11" x14ac:dyDescent="0.3">
      <c r="A45" s="69"/>
      <c r="B45" s="69"/>
    </row>
    <row r="46" spans="1:11" x14ac:dyDescent="0.3">
      <c r="A46" s="69"/>
      <c r="B46" s="69"/>
    </row>
    <row r="47" spans="1:11" x14ac:dyDescent="0.3">
      <c r="A47" s="69"/>
      <c r="B47" s="69"/>
    </row>
    <row r="48" spans="1:11" x14ac:dyDescent="0.3">
      <c r="A48" s="69"/>
      <c r="B48" s="69"/>
    </row>
    <row r="49" spans="1:2" x14ac:dyDescent="0.3">
      <c r="A49" s="69"/>
      <c r="B49" s="69"/>
    </row>
    <row r="50" spans="1:2" x14ac:dyDescent="0.3">
      <c r="A50" s="69"/>
      <c r="B50" s="69"/>
    </row>
    <row r="51" spans="1:2" x14ac:dyDescent="0.3">
      <c r="A51" s="69"/>
      <c r="B51" s="69"/>
    </row>
    <row r="52" spans="1:2" x14ac:dyDescent="0.3">
      <c r="A52" s="69"/>
      <c r="B52" s="69"/>
    </row>
    <row r="53" spans="1:2" x14ac:dyDescent="0.3">
      <c r="A53" s="69"/>
      <c r="B53" s="69"/>
    </row>
    <row r="54" spans="1:2" x14ac:dyDescent="0.3">
      <c r="A54" s="69"/>
      <c r="B54" s="69"/>
    </row>
    <row r="55" spans="1:2" x14ac:dyDescent="0.3">
      <c r="A55" s="69"/>
      <c r="B55" s="69"/>
    </row>
    <row r="56" spans="1:2" x14ac:dyDescent="0.3">
      <c r="A56" s="69"/>
      <c r="B56" s="69"/>
    </row>
    <row r="57" spans="1:2" x14ac:dyDescent="0.3">
      <c r="A57" s="69"/>
      <c r="B57" s="69"/>
    </row>
    <row r="58" spans="1:2" x14ac:dyDescent="0.3">
      <c r="A58" s="69"/>
      <c r="B58" s="69"/>
    </row>
    <row r="59" spans="1:2" x14ac:dyDescent="0.3">
      <c r="A59" s="69"/>
      <c r="B59" s="69"/>
    </row>
    <row r="60" spans="1:2" x14ac:dyDescent="0.3">
      <c r="A60" s="69"/>
      <c r="B60" s="69"/>
    </row>
    <row r="61" spans="1:2" x14ac:dyDescent="0.3">
      <c r="A61" s="69"/>
      <c r="B61" s="69"/>
    </row>
    <row r="62" spans="1:2" x14ac:dyDescent="0.3">
      <c r="A62" s="69"/>
      <c r="B62" s="69"/>
    </row>
    <row r="63" spans="1:2" x14ac:dyDescent="0.3">
      <c r="A63" s="69"/>
      <c r="B63" s="69"/>
    </row>
    <row r="64" spans="1:2" x14ac:dyDescent="0.3">
      <c r="A64" s="69"/>
      <c r="B64" s="69"/>
    </row>
    <row r="65" spans="1:2" x14ac:dyDescent="0.3">
      <c r="A65" s="69"/>
      <c r="B65" s="69"/>
    </row>
    <row r="66" spans="1:2" x14ac:dyDescent="0.3">
      <c r="A66" s="69"/>
      <c r="B66" s="69"/>
    </row>
    <row r="67" spans="1:2" x14ac:dyDescent="0.3">
      <c r="A67" s="69"/>
      <c r="B67" s="69"/>
    </row>
    <row r="68" spans="1:2" x14ac:dyDescent="0.3">
      <c r="A68" s="69"/>
      <c r="B68" s="69"/>
    </row>
    <row r="69" spans="1:2" x14ac:dyDescent="0.3">
      <c r="A69" s="69"/>
      <c r="B69" s="69"/>
    </row>
    <row r="70" spans="1:2" x14ac:dyDescent="0.3">
      <c r="A70" s="69"/>
      <c r="B70" s="69"/>
    </row>
    <row r="71" spans="1:2" x14ac:dyDescent="0.3">
      <c r="A71" s="69"/>
      <c r="B71" s="69"/>
    </row>
    <row r="72" spans="1:2" x14ac:dyDescent="0.3">
      <c r="A72" s="69"/>
      <c r="B72" s="69"/>
    </row>
    <row r="73" spans="1:2" x14ac:dyDescent="0.3">
      <c r="A73" s="69"/>
      <c r="B73" s="69"/>
    </row>
    <row r="74" spans="1:2" x14ac:dyDescent="0.3">
      <c r="A74" s="69"/>
      <c r="B74" s="69"/>
    </row>
    <row r="75" spans="1:2" x14ac:dyDescent="0.3">
      <c r="A75" s="69"/>
      <c r="B75" s="69"/>
    </row>
    <row r="76" spans="1:2" x14ac:dyDescent="0.3">
      <c r="A76" s="69"/>
      <c r="B76" s="69"/>
    </row>
    <row r="77" spans="1:2" x14ac:dyDescent="0.3">
      <c r="A77" s="69"/>
      <c r="B77" s="69"/>
    </row>
    <row r="78" spans="1:2" x14ac:dyDescent="0.3">
      <c r="A78" s="69"/>
      <c r="B78" s="69"/>
    </row>
    <row r="79" spans="1:2" x14ac:dyDescent="0.3">
      <c r="A79" s="69"/>
      <c r="B79" s="69"/>
    </row>
    <row r="80" spans="1:2" x14ac:dyDescent="0.3">
      <c r="A80" s="69"/>
      <c r="B80" s="69"/>
    </row>
    <row r="81" spans="1:2" x14ac:dyDescent="0.3">
      <c r="A81" s="69"/>
      <c r="B81" s="69"/>
    </row>
    <row r="82" spans="1:2" x14ac:dyDescent="0.3">
      <c r="A82" s="69"/>
      <c r="B82" s="69"/>
    </row>
    <row r="83" spans="1:2" x14ac:dyDescent="0.3">
      <c r="A83" s="69"/>
      <c r="B83" s="69"/>
    </row>
    <row r="84" spans="1:2" x14ac:dyDescent="0.3">
      <c r="A84" s="69"/>
      <c r="B84" s="69"/>
    </row>
    <row r="85" spans="1:2" x14ac:dyDescent="0.3">
      <c r="A85" s="69"/>
      <c r="B85" s="69"/>
    </row>
    <row r="86" spans="1:2" x14ac:dyDescent="0.3">
      <c r="A86" s="69"/>
      <c r="B86" s="69"/>
    </row>
    <row r="87" spans="1:2" x14ac:dyDescent="0.3">
      <c r="A87" s="69"/>
      <c r="B87" s="69"/>
    </row>
    <row r="88" spans="1:2" x14ac:dyDescent="0.3">
      <c r="A88" s="69"/>
      <c r="B88" s="69"/>
    </row>
    <row r="89" spans="1:2" x14ac:dyDescent="0.3">
      <c r="A89" s="69"/>
      <c r="B89" s="69"/>
    </row>
    <row r="90" spans="1:2" x14ac:dyDescent="0.3">
      <c r="A90" s="69"/>
      <c r="B90" s="69"/>
    </row>
    <row r="91" spans="1:2" x14ac:dyDescent="0.3">
      <c r="A91" s="69"/>
      <c r="B91" s="69"/>
    </row>
    <row r="92" spans="1:2" x14ac:dyDescent="0.3">
      <c r="A92" s="69"/>
      <c r="B92" s="69"/>
    </row>
    <row r="93" spans="1:2" x14ac:dyDescent="0.3">
      <c r="A93" s="69"/>
      <c r="B93" s="69"/>
    </row>
    <row r="94" spans="1:2" x14ac:dyDescent="0.3">
      <c r="A94" s="69"/>
      <c r="B94" s="69"/>
    </row>
    <row r="95" spans="1:2" x14ac:dyDescent="0.3">
      <c r="A95" s="69"/>
      <c r="B95" s="69"/>
    </row>
    <row r="96" spans="1:2" x14ac:dyDescent="0.3">
      <c r="A96" s="69"/>
      <c r="B96" s="69"/>
    </row>
    <row r="97" spans="1:2" x14ac:dyDescent="0.3">
      <c r="A97" s="69"/>
      <c r="B97" s="69"/>
    </row>
    <row r="98" spans="1:2" x14ac:dyDescent="0.3">
      <c r="A98" s="69"/>
      <c r="B98" s="69"/>
    </row>
    <row r="99" spans="1:2" x14ac:dyDescent="0.3">
      <c r="A99" s="69"/>
      <c r="B99" s="69"/>
    </row>
    <row r="100" spans="1:2" x14ac:dyDescent="0.3">
      <c r="A100" s="69"/>
      <c r="B100" s="69"/>
    </row>
    <row r="101" spans="1:2" x14ac:dyDescent="0.3">
      <c r="A101" s="69"/>
      <c r="B101" s="69"/>
    </row>
    <row r="102" spans="1:2" x14ac:dyDescent="0.3">
      <c r="A102" s="69"/>
      <c r="B102" s="69"/>
    </row>
    <row r="103" spans="1:2" x14ac:dyDescent="0.3">
      <c r="A103" s="69"/>
      <c r="B103" s="69"/>
    </row>
    <row r="104" spans="1:2" x14ac:dyDescent="0.3">
      <c r="A104" s="69"/>
      <c r="B104" s="69"/>
    </row>
    <row r="105" spans="1:2" x14ac:dyDescent="0.3">
      <c r="A105" s="69"/>
      <c r="B105" s="69"/>
    </row>
    <row r="106" spans="1:2" x14ac:dyDescent="0.3">
      <c r="A106" s="69"/>
      <c r="B106" s="69"/>
    </row>
    <row r="107" spans="1:2" x14ac:dyDescent="0.3">
      <c r="A107" s="69"/>
      <c r="B107" s="69"/>
    </row>
    <row r="108" spans="1:2" x14ac:dyDescent="0.3">
      <c r="A108" s="69"/>
      <c r="B108" s="69"/>
    </row>
    <row r="109" spans="1:2" x14ac:dyDescent="0.3">
      <c r="A109" s="69"/>
      <c r="B109" s="69"/>
    </row>
    <row r="110" spans="1:2" x14ac:dyDescent="0.3">
      <c r="A110" s="69"/>
      <c r="B110" s="69"/>
    </row>
    <row r="111" spans="1:2" x14ac:dyDescent="0.3">
      <c r="A111" s="69"/>
      <c r="B111" s="69"/>
    </row>
    <row r="112" spans="1:2" x14ac:dyDescent="0.3">
      <c r="A112" s="69"/>
      <c r="B112" s="69"/>
    </row>
    <row r="113" spans="1:2" x14ac:dyDescent="0.3">
      <c r="A113" s="69"/>
      <c r="B113" s="69"/>
    </row>
    <row r="114" spans="1:2" x14ac:dyDescent="0.3">
      <c r="A114" s="69"/>
      <c r="B114" s="69"/>
    </row>
    <row r="115" spans="1:2" x14ac:dyDescent="0.3">
      <c r="A115" s="69"/>
      <c r="B115" s="69"/>
    </row>
    <row r="116" spans="1:2" x14ac:dyDescent="0.3">
      <c r="A116" s="69"/>
      <c r="B116" s="69"/>
    </row>
    <row r="117" spans="1:2" x14ac:dyDescent="0.3">
      <c r="A117" s="69"/>
      <c r="B117" s="69"/>
    </row>
    <row r="118" spans="1:2" x14ac:dyDescent="0.3">
      <c r="A118" s="69"/>
      <c r="B118" s="69"/>
    </row>
    <row r="119" spans="1:2" x14ac:dyDescent="0.3">
      <c r="A119" s="69"/>
      <c r="B119" s="69"/>
    </row>
    <row r="120" spans="1:2" x14ac:dyDescent="0.3">
      <c r="A120" s="69"/>
      <c r="B120" s="69"/>
    </row>
    <row r="121" spans="1:2" x14ac:dyDescent="0.3">
      <c r="A121" s="69"/>
      <c r="B121" s="69"/>
    </row>
    <row r="122" spans="1:2" x14ac:dyDescent="0.3">
      <c r="A122" s="69"/>
      <c r="B122" s="69"/>
    </row>
    <row r="123" spans="1:2" x14ac:dyDescent="0.3">
      <c r="A123" s="69"/>
      <c r="B123" s="69"/>
    </row>
    <row r="124" spans="1:2" x14ac:dyDescent="0.3">
      <c r="A124" s="69"/>
      <c r="B124" s="69"/>
    </row>
    <row r="125" spans="1:2" x14ac:dyDescent="0.3">
      <c r="A125" s="69"/>
      <c r="B125" s="69"/>
    </row>
    <row r="126" spans="1:2" x14ac:dyDescent="0.3">
      <c r="A126" s="69"/>
      <c r="B126" s="69"/>
    </row>
    <row r="127" spans="1:2" x14ac:dyDescent="0.3">
      <c r="A127" s="69"/>
      <c r="B127" s="69"/>
    </row>
    <row r="128" spans="1:2" x14ac:dyDescent="0.3">
      <c r="A128" s="69"/>
      <c r="B128" s="69"/>
    </row>
    <row r="129" spans="1:2" x14ac:dyDescent="0.3">
      <c r="A129" s="69"/>
      <c r="B129" s="69"/>
    </row>
    <row r="130" spans="1:2" x14ac:dyDescent="0.3">
      <c r="A130" s="69"/>
      <c r="B130" s="69"/>
    </row>
    <row r="131" spans="1:2" x14ac:dyDescent="0.3">
      <c r="A131" s="69"/>
      <c r="B131" s="69"/>
    </row>
    <row r="132" spans="1:2" x14ac:dyDescent="0.3">
      <c r="A132" s="69"/>
      <c r="B132" s="69"/>
    </row>
    <row r="133" spans="1:2" x14ac:dyDescent="0.3">
      <c r="A133" s="69"/>
      <c r="B133" s="69"/>
    </row>
    <row r="134" spans="1:2" x14ac:dyDescent="0.3">
      <c r="A134" s="69"/>
      <c r="B134" s="69"/>
    </row>
    <row r="135" spans="1:2" x14ac:dyDescent="0.3">
      <c r="A135" s="69"/>
      <c r="B135" s="69"/>
    </row>
    <row r="136" spans="1:2" x14ac:dyDescent="0.3">
      <c r="A136" s="69"/>
      <c r="B136" s="69"/>
    </row>
    <row r="137" spans="1:2" x14ac:dyDescent="0.3">
      <c r="A137" s="69"/>
      <c r="B137" s="69"/>
    </row>
    <row r="138" spans="1:2" x14ac:dyDescent="0.3">
      <c r="A138" s="69"/>
      <c r="B138" s="69"/>
    </row>
    <row r="139" spans="1:2" x14ac:dyDescent="0.3">
      <c r="A139" s="69"/>
      <c r="B139" s="69"/>
    </row>
    <row r="140" spans="1:2" x14ac:dyDescent="0.3">
      <c r="A140" s="69"/>
      <c r="B140" s="69"/>
    </row>
    <row r="141" spans="1:2" x14ac:dyDescent="0.3">
      <c r="A141" s="69"/>
      <c r="B141" s="69"/>
    </row>
    <row r="142" spans="1:2" x14ac:dyDescent="0.3">
      <c r="A142" s="69"/>
      <c r="B142" s="69"/>
    </row>
    <row r="143" spans="1:2" x14ac:dyDescent="0.3">
      <c r="A143" s="69"/>
      <c r="B143" s="69"/>
    </row>
    <row r="144" spans="1:2" x14ac:dyDescent="0.3">
      <c r="A144" s="69"/>
      <c r="B144" s="69"/>
    </row>
    <row r="145" spans="1:2" x14ac:dyDescent="0.3">
      <c r="A145" s="69"/>
      <c r="B145" s="69"/>
    </row>
    <row r="146" spans="1:2" x14ac:dyDescent="0.3">
      <c r="A146" s="69"/>
      <c r="B146" s="69"/>
    </row>
    <row r="147" spans="1:2" x14ac:dyDescent="0.3">
      <c r="A147" s="69"/>
      <c r="B147" s="69"/>
    </row>
    <row r="148" spans="1:2" x14ac:dyDescent="0.3">
      <c r="A148" s="69"/>
      <c r="B148" s="69"/>
    </row>
    <row r="149" spans="1:2" x14ac:dyDescent="0.3">
      <c r="A149" s="69"/>
      <c r="B149" s="69"/>
    </row>
    <row r="150" spans="1:2" x14ac:dyDescent="0.3">
      <c r="A150" s="69"/>
      <c r="B150" s="69"/>
    </row>
    <row r="151" spans="1:2" x14ac:dyDescent="0.3">
      <c r="A151" s="69"/>
      <c r="B151" s="69"/>
    </row>
    <row r="152" spans="1:2" x14ac:dyDescent="0.3">
      <c r="A152" s="69"/>
      <c r="B152" s="69"/>
    </row>
    <row r="153" spans="1:2" x14ac:dyDescent="0.3">
      <c r="A153" s="69"/>
      <c r="B153" s="69"/>
    </row>
    <row r="154" spans="1:2" x14ac:dyDescent="0.3">
      <c r="A154" s="69"/>
      <c r="B154" s="69"/>
    </row>
    <row r="155" spans="1:2" x14ac:dyDescent="0.3">
      <c r="A155" s="69"/>
      <c r="B155" s="69"/>
    </row>
    <row r="156" spans="1:2" x14ac:dyDescent="0.3">
      <c r="A156" s="69"/>
      <c r="B156" s="69"/>
    </row>
    <row r="157" spans="1:2" x14ac:dyDescent="0.3">
      <c r="A157" s="69"/>
      <c r="B157" s="69"/>
    </row>
    <row r="158" spans="1:2" x14ac:dyDescent="0.3">
      <c r="A158" s="69"/>
      <c r="B158" s="69"/>
    </row>
    <row r="159" spans="1:2" x14ac:dyDescent="0.3">
      <c r="A159" s="69"/>
      <c r="B159" s="69"/>
    </row>
    <row r="160" spans="1:2" x14ac:dyDescent="0.3">
      <c r="A160" s="69"/>
      <c r="B160" s="69"/>
    </row>
    <row r="161" spans="1:2" x14ac:dyDescent="0.3">
      <c r="A161" s="69"/>
      <c r="B161" s="69"/>
    </row>
    <row r="162" spans="1:2" x14ac:dyDescent="0.3">
      <c r="A162" s="69"/>
      <c r="B162" s="69"/>
    </row>
    <row r="163" spans="1:2" x14ac:dyDescent="0.3">
      <c r="A163" s="69"/>
      <c r="B163" s="69"/>
    </row>
    <row r="164" spans="1:2" x14ac:dyDescent="0.3">
      <c r="A164" s="69"/>
      <c r="B164" s="69"/>
    </row>
    <row r="165" spans="1:2" x14ac:dyDescent="0.3">
      <c r="A165" s="69"/>
      <c r="B165" s="69"/>
    </row>
    <row r="166" spans="1:2" x14ac:dyDescent="0.3">
      <c r="A166" s="69"/>
      <c r="B166" s="69"/>
    </row>
    <row r="167" spans="1:2" x14ac:dyDescent="0.3">
      <c r="A167" s="69"/>
      <c r="B167" s="69"/>
    </row>
    <row r="168" spans="1:2" x14ac:dyDescent="0.3">
      <c r="A168" s="69"/>
      <c r="B168" s="69"/>
    </row>
    <row r="169" spans="1:2" x14ac:dyDescent="0.3">
      <c r="A169" s="69"/>
      <c r="B169" s="69"/>
    </row>
    <row r="170" spans="1:2" x14ac:dyDescent="0.3">
      <c r="A170" s="69"/>
      <c r="B170" s="69"/>
    </row>
    <row r="171" spans="1:2" x14ac:dyDescent="0.3">
      <c r="A171" s="69"/>
      <c r="B171" s="69"/>
    </row>
    <row r="172" spans="1:2" x14ac:dyDescent="0.3">
      <c r="A172" s="69"/>
      <c r="B172" s="69"/>
    </row>
    <row r="173" spans="1:2" x14ac:dyDescent="0.3">
      <c r="A173" s="69"/>
      <c r="B173" s="69"/>
    </row>
    <row r="174" spans="1:2" x14ac:dyDescent="0.3">
      <c r="A174" s="69"/>
      <c r="B174" s="69"/>
    </row>
    <row r="175" spans="1:2" x14ac:dyDescent="0.3">
      <c r="A175" s="69"/>
      <c r="B175" s="69"/>
    </row>
    <row r="176" spans="1:2" x14ac:dyDescent="0.3">
      <c r="A176" s="69"/>
      <c r="B176" s="69"/>
    </row>
    <row r="177" spans="1:2" x14ac:dyDescent="0.3">
      <c r="A177" s="69"/>
      <c r="B177" s="69"/>
    </row>
    <row r="178" spans="1:2" x14ac:dyDescent="0.3">
      <c r="A178" s="69"/>
      <c r="B178" s="69"/>
    </row>
    <row r="179" spans="1:2" x14ac:dyDescent="0.3">
      <c r="A179" s="69"/>
      <c r="B179" s="69"/>
    </row>
    <row r="180" spans="1:2" x14ac:dyDescent="0.3">
      <c r="A180" s="69"/>
      <c r="B180" s="69"/>
    </row>
    <row r="181" spans="1:2" x14ac:dyDescent="0.3">
      <c r="A181" s="69"/>
      <c r="B181" s="69"/>
    </row>
    <row r="182" spans="1:2" x14ac:dyDescent="0.3">
      <c r="A182" s="69"/>
      <c r="B182" s="69"/>
    </row>
    <row r="183" spans="1:2" x14ac:dyDescent="0.3">
      <c r="A183" s="69"/>
      <c r="B183" s="69"/>
    </row>
    <row r="184" spans="1:2" x14ac:dyDescent="0.3">
      <c r="A184" s="69"/>
      <c r="B184" s="69"/>
    </row>
    <row r="185" spans="1:2" x14ac:dyDescent="0.3">
      <c r="A185" s="69"/>
      <c r="B185" s="69"/>
    </row>
    <row r="186" spans="1:2" x14ac:dyDescent="0.3">
      <c r="A186" s="69"/>
      <c r="B186" s="69"/>
    </row>
    <row r="187" spans="1:2" x14ac:dyDescent="0.3">
      <c r="A187" s="69"/>
      <c r="B187" s="69"/>
    </row>
    <row r="188" spans="1:2" x14ac:dyDescent="0.3">
      <c r="A188" s="69"/>
      <c r="B188" s="69"/>
    </row>
    <row r="189" spans="1:2" x14ac:dyDescent="0.3">
      <c r="A189" s="69"/>
      <c r="B189" s="69"/>
    </row>
    <row r="190" spans="1:2" x14ac:dyDescent="0.3">
      <c r="A190" s="69"/>
      <c r="B190" s="69"/>
    </row>
    <row r="191" spans="1:2" x14ac:dyDescent="0.3">
      <c r="A191" s="69"/>
      <c r="B191" s="69"/>
    </row>
    <row r="192" spans="1:2" x14ac:dyDescent="0.3">
      <c r="A192" s="69"/>
      <c r="B192" s="69"/>
    </row>
    <row r="193" spans="1:2" x14ac:dyDescent="0.3">
      <c r="A193" s="69"/>
      <c r="B193" s="69"/>
    </row>
    <row r="194" spans="1:2" x14ac:dyDescent="0.3">
      <c r="A194" s="69"/>
      <c r="B194" s="69"/>
    </row>
    <row r="195" spans="1:2" x14ac:dyDescent="0.3">
      <c r="A195" s="69"/>
      <c r="B195" s="69"/>
    </row>
    <row r="196" spans="1:2" x14ac:dyDescent="0.3">
      <c r="A196" s="69"/>
      <c r="B196" s="69"/>
    </row>
    <row r="197" spans="1:2" x14ac:dyDescent="0.3">
      <c r="A197" s="69"/>
      <c r="B197" s="69"/>
    </row>
    <row r="198" spans="1:2" x14ac:dyDescent="0.3">
      <c r="A198" s="69"/>
      <c r="B198" s="69"/>
    </row>
    <row r="199" spans="1:2" x14ac:dyDescent="0.3">
      <c r="A199" s="69"/>
      <c r="B199" s="69"/>
    </row>
    <row r="200" spans="1:2" x14ac:dyDescent="0.3">
      <c r="A200" s="69"/>
      <c r="B200" s="69"/>
    </row>
    <row r="201" spans="1:2" x14ac:dyDescent="0.3">
      <c r="A201" s="69"/>
      <c r="B201" s="69"/>
    </row>
    <row r="202" spans="1:2" x14ac:dyDescent="0.3">
      <c r="A202" s="69"/>
      <c r="B202" s="69"/>
    </row>
    <row r="203" spans="1:2" x14ac:dyDescent="0.3">
      <c r="A203" s="69"/>
      <c r="B203" s="69"/>
    </row>
    <row r="204" spans="1:2" x14ac:dyDescent="0.3">
      <c r="A204" s="69"/>
      <c r="B204" s="69"/>
    </row>
    <row r="205" spans="1:2" x14ac:dyDescent="0.3">
      <c r="A205" s="69"/>
      <c r="B205" s="69"/>
    </row>
    <row r="206" spans="1:2" x14ac:dyDescent="0.3">
      <c r="A206" s="69"/>
      <c r="B206" s="69"/>
    </row>
    <row r="207" spans="1:2" x14ac:dyDescent="0.3">
      <c r="A207" s="69"/>
      <c r="B207" s="69"/>
    </row>
    <row r="208" spans="1:2" x14ac:dyDescent="0.3">
      <c r="A208" s="69"/>
      <c r="B208" s="69"/>
    </row>
    <row r="209" spans="1:2" x14ac:dyDescent="0.3">
      <c r="A209" s="69"/>
      <c r="B209" s="69"/>
    </row>
    <row r="210" spans="1:2" x14ac:dyDescent="0.3">
      <c r="A210" s="69"/>
      <c r="B210" s="69"/>
    </row>
    <row r="211" spans="1:2" x14ac:dyDescent="0.3">
      <c r="A211" s="69"/>
      <c r="B211" s="69"/>
    </row>
    <row r="212" spans="1:2" x14ac:dyDescent="0.3">
      <c r="A212" s="69"/>
      <c r="B212" s="69"/>
    </row>
    <row r="213" spans="1:2" x14ac:dyDescent="0.3">
      <c r="A213" s="69"/>
      <c r="B213" s="69"/>
    </row>
    <row r="214" spans="1:2" x14ac:dyDescent="0.3">
      <c r="A214" s="69"/>
      <c r="B214" s="69"/>
    </row>
    <row r="215" spans="1:2" x14ac:dyDescent="0.3">
      <c r="A215" s="69"/>
      <c r="B215" s="69"/>
    </row>
    <row r="216" spans="1:2" x14ac:dyDescent="0.3">
      <c r="A216" s="69"/>
      <c r="B216" s="69"/>
    </row>
    <row r="217" spans="1:2" x14ac:dyDescent="0.3">
      <c r="A217" s="69"/>
      <c r="B217" s="69"/>
    </row>
    <row r="218" spans="1:2" x14ac:dyDescent="0.3">
      <c r="A218" s="69"/>
      <c r="B218" s="69"/>
    </row>
    <row r="219" spans="1:2" x14ac:dyDescent="0.3">
      <c r="A219" s="69"/>
      <c r="B219" s="69"/>
    </row>
    <row r="220" spans="1:2" x14ac:dyDescent="0.3">
      <c r="A220" s="69"/>
      <c r="B220" s="69"/>
    </row>
    <row r="221" spans="1:2" x14ac:dyDescent="0.3">
      <c r="A221" s="69"/>
      <c r="B221" s="69"/>
    </row>
    <row r="222" spans="1:2" x14ac:dyDescent="0.3">
      <c r="A222" s="69"/>
      <c r="B222" s="69"/>
    </row>
    <row r="223" spans="1:2" x14ac:dyDescent="0.3">
      <c r="A223" s="69"/>
      <c r="B223" s="69"/>
    </row>
    <row r="224" spans="1:2" x14ac:dyDescent="0.3">
      <c r="A224" s="69"/>
      <c r="B224" s="69"/>
    </row>
    <row r="225" spans="1:2" x14ac:dyDescent="0.3">
      <c r="A225" s="69"/>
      <c r="B225" s="69"/>
    </row>
    <row r="226" spans="1:2" x14ac:dyDescent="0.3">
      <c r="A226" s="69"/>
      <c r="B226" s="69"/>
    </row>
    <row r="227" spans="1:2" x14ac:dyDescent="0.3">
      <c r="A227" s="69"/>
      <c r="B227" s="69"/>
    </row>
    <row r="228" spans="1:2" x14ac:dyDescent="0.3">
      <c r="A228" s="69"/>
      <c r="B228" s="69"/>
    </row>
    <row r="229" spans="1:2" x14ac:dyDescent="0.3">
      <c r="A229" s="69"/>
      <c r="B229" s="69"/>
    </row>
    <row r="230" spans="1:2" x14ac:dyDescent="0.3">
      <c r="A230" s="69"/>
      <c r="B230" s="69"/>
    </row>
    <row r="231" spans="1:2" x14ac:dyDescent="0.3">
      <c r="A231" s="69"/>
      <c r="B231" s="69"/>
    </row>
    <row r="232" spans="1:2" x14ac:dyDescent="0.3">
      <c r="A232" s="69"/>
      <c r="B232" s="69"/>
    </row>
    <row r="233" spans="1:2" x14ac:dyDescent="0.3">
      <c r="A233" s="69"/>
      <c r="B233" s="69"/>
    </row>
    <row r="234" spans="1:2" x14ac:dyDescent="0.3">
      <c r="A234" s="69"/>
      <c r="B234" s="69"/>
    </row>
    <row r="235" spans="1:2" x14ac:dyDescent="0.3">
      <c r="A235" s="69"/>
      <c r="B235" s="69"/>
    </row>
    <row r="236" spans="1:2" x14ac:dyDescent="0.3">
      <c r="A236" s="69"/>
      <c r="B236" s="69"/>
    </row>
    <row r="237" spans="1:2" x14ac:dyDescent="0.3">
      <c r="A237" s="69"/>
      <c r="B237" s="69"/>
    </row>
    <row r="238" spans="1:2" x14ac:dyDescent="0.3">
      <c r="A238" s="69"/>
      <c r="B238" s="69"/>
    </row>
    <row r="239" spans="1:2" x14ac:dyDescent="0.3">
      <c r="A239" s="69"/>
      <c r="B239" s="69"/>
    </row>
    <row r="240" spans="1:2" x14ac:dyDescent="0.3">
      <c r="A240" s="69"/>
      <c r="B240" s="69"/>
    </row>
    <row r="241" spans="1:2" x14ac:dyDescent="0.3">
      <c r="A241" s="69"/>
      <c r="B241" s="69"/>
    </row>
    <row r="242" spans="1:2" x14ac:dyDescent="0.3">
      <c r="A242" s="69"/>
      <c r="B242" s="69"/>
    </row>
    <row r="243" spans="1:2" x14ac:dyDescent="0.3">
      <c r="A243" s="69"/>
      <c r="B243" s="69"/>
    </row>
    <row r="244" spans="1:2" x14ac:dyDescent="0.3">
      <c r="A244" s="69"/>
      <c r="B244" s="69"/>
    </row>
    <row r="245" spans="1:2" x14ac:dyDescent="0.3">
      <c r="A245" s="69"/>
      <c r="B245" s="69"/>
    </row>
    <row r="246" spans="1:2" x14ac:dyDescent="0.3">
      <c r="A246" s="69"/>
      <c r="B246" s="69"/>
    </row>
    <row r="247" spans="1:2" x14ac:dyDescent="0.3">
      <c r="A247" s="69"/>
      <c r="B247" s="69"/>
    </row>
    <row r="248" spans="1:2" x14ac:dyDescent="0.3">
      <c r="A248" s="69"/>
      <c r="B248" s="69"/>
    </row>
    <row r="249" spans="1:2" x14ac:dyDescent="0.3">
      <c r="A249" s="69"/>
      <c r="B249" s="69"/>
    </row>
    <row r="250" spans="1:2" x14ac:dyDescent="0.3">
      <c r="A250" s="69"/>
      <c r="B250" s="69"/>
    </row>
    <row r="251" spans="1:2" x14ac:dyDescent="0.3">
      <c r="A251" s="69"/>
      <c r="B251" s="69"/>
    </row>
    <row r="252" spans="1:2" x14ac:dyDescent="0.3">
      <c r="A252" s="69"/>
      <c r="B252" s="69"/>
    </row>
    <row r="253" spans="1:2" x14ac:dyDescent="0.3">
      <c r="A253" s="69"/>
      <c r="B253" s="69"/>
    </row>
    <row r="254" spans="1:2" x14ac:dyDescent="0.3">
      <c r="A254" s="69"/>
      <c r="B254" s="69"/>
    </row>
    <row r="255" spans="1:2" x14ac:dyDescent="0.3">
      <c r="A255" s="69"/>
      <c r="B255" s="69"/>
    </row>
    <row r="256" spans="1:2" x14ac:dyDescent="0.3">
      <c r="A256" s="69"/>
      <c r="B256" s="69"/>
    </row>
    <row r="257" spans="1:2" x14ac:dyDescent="0.3">
      <c r="A257" s="69"/>
      <c r="B257" s="69"/>
    </row>
    <row r="258" spans="1:2" x14ac:dyDescent="0.3">
      <c r="A258" s="69"/>
      <c r="B258" s="69"/>
    </row>
    <row r="259" spans="1:2" x14ac:dyDescent="0.3">
      <c r="A259" s="69"/>
      <c r="B259" s="69"/>
    </row>
    <row r="260" spans="1:2" x14ac:dyDescent="0.3">
      <c r="A260" s="69"/>
      <c r="B260" s="69"/>
    </row>
    <row r="261" spans="1:2" x14ac:dyDescent="0.3">
      <c r="A261" s="69"/>
      <c r="B261" s="69"/>
    </row>
    <row r="262" spans="1:2" x14ac:dyDescent="0.3">
      <c r="A262" s="69"/>
      <c r="B262" s="69"/>
    </row>
    <row r="263" spans="1:2" x14ac:dyDescent="0.3">
      <c r="A263" s="69"/>
      <c r="B263" s="69"/>
    </row>
    <row r="264" spans="1:2" x14ac:dyDescent="0.3">
      <c r="A264" s="69"/>
      <c r="B264" s="69"/>
    </row>
    <row r="265" spans="1:2" x14ac:dyDescent="0.3">
      <c r="A265" s="69"/>
      <c r="B265" s="69"/>
    </row>
    <row r="266" spans="1:2" x14ac:dyDescent="0.3">
      <c r="A266" s="69"/>
      <c r="B266" s="69"/>
    </row>
    <row r="267" spans="1:2" x14ac:dyDescent="0.3">
      <c r="A267" s="69"/>
      <c r="B267" s="69"/>
    </row>
    <row r="268" spans="1:2" x14ac:dyDescent="0.3">
      <c r="A268" s="69"/>
      <c r="B268" s="69"/>
    </row>
    <row r="269" spans="1:2" x14ac:dyDescent="0.3">
      <c r="A269" s="69"/>
      <c r="B269" s="69"/>
    </row>
    <row r="270" spans="1:2" x14ac:dyDescent="0.3">
      <c r="A270" s="69"/>
      <c r="B270" s="69"/>
    </row>
    <row r="271" spans="1:2" x14ac:dyDescent="0.3">
      <c r="A271" s="69"/>
      <c r="B271" s="69"/>
    </row>
    <row r="272" spans="1:2" x14ac:dyDescent="0.3">
      <c r="A272" s="69"/>
      <c r="B272" s="69"/>
    </row>
    <row r="273" spans="1:2" x14ac:dyDescent="0.3">
      <c r="A273" s="69"/>
      <c r="B273" s="69"/>
    </row>
    <row r="274" spans="1:2" x14ac:dyDescent="0.3">
      <c r="A274" s="69"/>
      <c r="B274" s="69"/>
    </row>
    <row r="275" spans="1:2" x14ac:dyDescent="0.3">
      <c r="A275" s="69"/>
      <c r="B275" s="69"/>
    </row>
    <row r="276" spans="1:2" x14ac:dyDescent="0.3">
      <c r="A276" s="69"/>
      <c r="B276" s="69"/>
    </row>
    <row r="277" spans="1:2" x14ac:dyDescent="0.3">
      <c r="A277" s="69"/>
      <c r="B277" s="69"/>
    </row>
    <row r="278" spans="1:2" x14ac:dyDescent="0.3">
      <c r="A278" s="69"/>
      <c r="B278" s="69"/>
    </row>
    <row r="279" spans="1:2" x14ac:dyDescent="0.3">
      <c r="A279" s="69"/>
      <c r="B279" s="69"/>
    </row>
    <row r="280" spans="1:2" x14ac:dyDescent="0.3">
      <c r="A280" s="69"/>
      <c r="B280" s="69"/>
    </row>
    <row r="281" spans="1:2" x14ac:dyDescent="0.3">
      <c r="A281" s="69"/>
      <c r="B281" s="69"/>
    </row>
    <row r="282" spans="1:2" x14ac:dyDescent="0.3">
      <c r="A282" s="69"/>
      <c r="B282" s="69"/>
    </row>
    <row r="283" spans="1:2" x14ac:dyDescent="0.3">
      <c r="A283" s="69"/>
      <c r="B283" s="69"/>
    </row>
    <row r="284" spans="1:2" x14ac:dyDescent="0.3">
      <c r="A284" s="69"/>
      <c r="B284" s="69"/>
    </row>
    <row r="285" spans="1:2" x14ac:dyDescent="0.3">
      <c r="A285" s="69"/>
      <c r="B285" s="69"/>
    </row>
    <row r="286" spans="1:2" x14ac:dyDescent="0.3">
      <c r="A286" s="69"/>
      <c r="B286" s="69"/>
    </row>
    <row r="287" spans="1:2" x14ac:dyDescent="0.3">
      <c r="A287" s="69"/>
      <c r="B287" s="69"/>
    </row>
    <row r="288" spans="1:2" x14ac:dyDescent="0.3">
      <c r="A288" s="69"/>
      <c r="B288" s="69"/>
    </row>
    <row r="289" spans="1:2" x14ac:dyDescent="0.3">
      <c r="A289" s="69"/>
      <c r="B289" s="69"/>
    </row>
    <row r="290" spans="1:2" x14ac:dyDescent="0.3">
      <c r="A290" s="69"/>
      <c r="B290" s="69"/>
    </row>
    <row r="291" spans="1:2" x14ac:dyDescent="0.3">
      <c r="A291" s="69"/>
      <c r="B291" s="69"/>
    </row>
    <row r="292" spans="1:2" x14ac:dyDescent="0.3">
      <c r="A292" s="69"/>
      <c r="B292" s="69"/>
    </row>
    <row r="293" spans="1:2" x14ac:dyDescent="0.3">
      <c r="A293" s="69"/>
      <c r="B293" s="69"/>
    </row>
    <row r="294" spans="1:2" x14ac:dyDescent="0.3">
      <c r="A294" s="69"/>
      <c r="B294" s="69"/>
    </row>
    <row r="295" spans="1:2" x14ac:dyDescent="0.3">
      <c r="A295" s="69"/>
      <c r="B295" s="69"/>
    </row>
    <row r="296" spans="1:2" x14ac:dyDescent="0.3">
      <c r="A296" s="69"/>
      <c r="B296" s="69"/>
    </row>
    <row r="297" spans="1:2" x14ac:dyDescent="0.3">
      <c r="A297" s="69"/>
      <c r="B297" s="69"/>
    </row>
    <row r="298" spans="1:2" x14ac:dyDescent="0.3">
      <c r="A298" s="69"/>
      <c r="B298" s="69"/>
    </row>
    <row r="299" spans="1:2" x14ac:dyDescent="0.3">
      <c r="A299" s="69"/>
      <c r="B299" s="69"/>
    </row>
    <row r="300" spans="1:2" x14ac:dyDescent="0.3">
      <c r="A300" s="69"/>
      <c r="B300" s="69"/>
    </row>
    <row r="301" spans="1:2" x14ac:dyDescent="0.3">
      <c r="A301" s="69"/>
      <c r="B301" s="69"/>
    </row>
    <row r="302" spans="1:2" x14ac:dyDescent="0.3">
      <c r="A302" s="69"/>
      <c r="B302" s="69"/>
    </row>
    <row r="303" spans="1:2" x14ac:dyDescent="0.3">
      <c r="A303" s="69"/>
      <c r="B303" s="69"/>
    </row>
    <row r="304" spans="1:2" x14ac:dyDescent="0.3">
      <c r="A304" s="69"/>
      <c r="B304" s="69"/>
    </row>
    <row r="305" spans="1:2" x14ac:dyDescent="0.3">
      <c r="A305" s="69"/>
      <c r="B305" s="69"/>
    </row>
    <row r="306" spans="1:2" x14ac:dyDescent="0.3">
      <c r="A306" s="69"/>
      <c r="B306" s="69"/>
    </row>
    <row r="307" spans="1:2" x14ac:dyDescent="0.3">
      <c r="A307" s="69"/>
      <c r="B307" s="69"/>
    </row>
    <row r="308" spans="1:2" x14ac:dyDescent="0.3">
      <c r="A308" s="69"/>
      <c r="B308" s="69"/>
    </row>
    <row r="309" spans="1:2" x14ac:dyDescent="0.3">
      <c r="A309" s="69"/>
      <c r="B309" s="69"/>
    </row>
    <row r="310" spans="1:2" x14ac:dyDescent="0.3">
      <c r="A310" s="69"/>
      <c r="B310" s="69"/>
    </row>
    <row r="311" spans="1:2" x14ac:dyDescent="0.3">
      <c r="A311" s="69"/>
      <c r="B311" s="69"/>
    </row>
    <row r="312" spans="1:2" x14ac:dyDescent="0.3">
      <c r="A312" s="69"/>
      <c r="B312" s="69"/>
    </row>
    <row r="313" spans="1:2" x14ac:dyDescent="0.3">
      <c r="A313" s="69"/>
      <c r="B313" s="69"/>
    </row>
    <row r="314" spans="1:2" x14ac:dyDescent="0.3">
      <c r="A314" s="69"/>
      <c r="B314" s="69"/>
    </row>
    <row r="315" spans="1:2" x14ac:dyDescent="0.3">
      <c r="A315" s="69"/>
      <c r="B315" s="69"/>
    </row>
    <row r="316" spans="1:2" x14ac:dyDescent="0.3">
      <c r="A316" s="69"/>
      <c r="B316" s="69"/>
    </row>
    <row r="317" spans="1:2" x14ac:dyDescent="0.3">
      <c r="A317" s="69"/>
      <c r="B317" s="69"/>
    </row>
    <row r="318" spans="1:2" x14ac:dyDescent="0.3">
      <c r="A318" s="69"/>
      <c r="B318" s="69"/>
    </row>
    <row r="319" spans="1:2" x14ac:dyDescent="0.3">
      <c r="A319" s="69"/>
      <c r="B319" s="69"/>
    </row>
    <row r="320" spans="1:2" x14ac:dyDescent="0.3">
      <c r="A320" s="69"/>
      <c r="B320" s="69"/>
    </row>
    <row r="321" spans="1:2" x14ac:dyDescent="0.3">
      <c r="A321" s="69"/>
      <c r="B321" s="69"/>
    </row>
    <row r="322" spans="1:2" x14ac:dyDescent="0.3">
      <c r="A322" s="69"/>
      <c r="B322" s="69"/>
    </row>
    <row r="323" spans="1:2" x14ac:dyDescent="0.3">
      <c r="A323" s="69"/>
      <c r="B323" s="69"/>
    </row>
    <row r="324" spans="1:2" x14ac:dyDescent="0.3">
      <c r="A324" s="69"/>
      <c r="B324" s="69"/>
    </row>
    <row r="325" spans="1:2" x14ac:dyDescent="0.3">
      <c r="A325" s="69"/>
      <c r="B325" s="69"/>
    </row>
    <row r="326" spans="1:2" x14ac:dyDescent="0.3">
      <c r="A326" s="69"/>
      <c r="B326" s="69"/>
    </row>
    <row r="327" spans="1:2" x14ac:dyDescent="0.3">
      <c r="A327" s="69"/>
      <c r="B327" s="69"/>
    </row>
    <row r="328" spans="1:2" x14ac:dyDescent="0.3">
      <c r="A328" s="69"/>
      <c r="B328" s="69"/>
    </row>
    <row r="329" spans="1:2" x14ac:dyDescent="0.3">
      <c r="A329" s="69"/>
      <c r="B329" s="69"/>
    </row>
    <row r="330" spans="1:2" x14ac:dyDescent="0.3">
      <c r="A330" s="69"/>
      <c r="B330" s="69"/>
    </row>
    <row r="331" spans="1:2" x14ac:dyDescent="0.3">
      <c r="A331" s="69"/>
      <c r="B331" s="69"/>
    </row>
    <row r="332" spans="1:2" x14ac:dyDescent="0.3">
      <c r="A332" s="69"/>
      <c r="B332" s="69"/>
    </row>
    <row r="333" spans="1:2" x14ac:dyDescent="0.3">
      <c r="A333" s="69"/>
      <c r="B333" s="69"/>
    </row>
    <row r="334" spans="1:2" x14ac:dyDescent="0.3">
      <c r="A334" s="69"/>
      <c r="B334" s="69"/>
    </row>
    <row r="335" spans="1:2" x14ac:dyDescent="0.3">
      <c r="A335" s="69"/>
      <c r="B335" s="69"/>
    </row>
    <row r="336" spans="1:2" x14ac:dyDescent="0.3">
      <c r="A336" s="69"/>
      <c r="B336" s="69"/>
    </row>
    <row r="337" spans="1:2" x14ac:dyDescent="0.3">
      <c r="A337" s="69"/>
      <c r="B337" s="69"/>
    </row>
    <row r="338" spans="1:2" x14ac:dyDescent="0.3">
      <c r="A338" s="69"/>
      <c r="B338" s="69"/>
    </row>
    <row r="339" spans="1:2" x14ac:dyDescent="0.3">
      <c r="A339" s="69"/>
      <c r="B339" s="69"/>
    </row>
    <row r="340" spans="1:2" x14ac:dyDescent="0.3">
      <c r="A340" s="69"/>
      <c r="B340" s="69"/>
    </row>
    <row r="341" spans="1:2" x14ac:dyDescent="0.3">
      <c r="A341" s="69"/>
      <c r="B341" s="69"/>
    </row>
    <row r="342" spans="1:2" x14ac:dyDescent="0.3">
      <c r="A342" s="69"/>
      <c r="B342" s="69"/>
    </row>
    <row r="343" spans="1:2" x14ac:dyDescent="0.3">
      <c r="A343" s="69"/>
      <c r="B343" s="69"/>
    </row>
    <row r="344" spans="1:2" x14ac:dyDescent="0.3">
      <c r="A344" s="69"/>
      <c r="B344" s="69"/>
    </row>
    <row r="345" spans="1:2" x14ac:dyDescent="0.3">
      <c r="A345" s="69"/>
      <c r="B345" s="69"/>
    </row>
    <row r="346" spans="1:2" x14ac:dyDescent="0.3">
      <c r="A346" s="69"/>
      <c r="B346" s="69"/>
    </row>
    <row r="347" spans="1:2" x14ac:dyDescent="0.3">
      <c r="A347" s="69"/>
      <c r="B347" s="69"/>
    </row>
    <row r="348" spans="1:2" x14ac:dyDescent="0.3">
      <c r="A348" s="69"/>
      <c r="B348" s="69"/>
    </row>
    <row r="349" spans="1:2" x14ac:dyDescent="0.3">
      <c r="A349" s="69"/>
      <c r="B349" s="69"/>
    </row>
    <row r="350" spans="1:2" x14ac:dyDescent="0.3">
      <c r="A350" s="69"/>
      <c r="B350" s="69"/>
    </row>
    <row r="351" spans="1:2" x14ac:dyDescent="0.3">
      <c r="A351" s="69"/>
      <c r="B351" s="69"/>
    </row>
    <row r="352" spans="1:2" x14ac:dyDescent="0.3">
      <c r="A352" s="69"/>
      <c r="B352" s="69"/>
    </row>
    <row r="353" spans="1:2" x14ac:dyDescent="0.3">
      <c r="A353" s="69"/>
      <c r="B353" s="69"/>
    </row>
    <row r="354" spans="1:2" x14ac:dyDescent="0.3">
      <c r="A354" s="69"/>
      <c r="B354" s="69"/>
    </row>
    <row r="355" spans="1:2" x14ac:dyDescent="0.3">
      <c r="A355" s="69"/>
      <c r="B355" s="69"/>
    </row>
    <row r="356" spans="1:2" x14ac:dyDescent="0.3">
      <c r="A356" s="69"/>
      <c r="B356" s="69"/>
    </row>
    <row r="357" spans="1:2" x14ac:dyDescent="0.3">
      <c r="A357" s="69"/>
      <c r="B357" s="69"/>
    </row>
    <row r="358" spans="1:2" x14ac:dyDescent="0.3">
      <c r="A358" s="69"/>
      <c r="B358" s="69"/>
    </row>
    <row r="359" spans="1:2" x14ac:dyDescent="0.3">
      <c r="A359" s="69"/>
      <c r="B359" s="69"/>
    </row>
    <row r="360" spans="1:2" x14ac:dyDescent="0.3">
      <c r="A360" s="69"/>
      <c r="B360" s="69"/>
    </row>
    <row r="361" spans="1:2" x14ac:dyDescent="0.3">
      <c r="A361" s="69"/>
      <c r="B361" s="69"/>
    </row>
    <row r="362" spans="1:2" x14ac:dyDescent="0.3">
      <c r="A362" s="69"/>
      <c r="B362" s="69"/>
    </row>
    <row r="363" spans="1:2" x14ac:dyDescent="0.3">
      <c r="A363" s="69"/>
      <c r="B363" s="69"/>
    </row>
    <row r="364" spans="1:2" x14ac:dyDescent="0.3">
      <c r="A364" s="69"/>
      <c r="B364" s="69"/>
    </row>
    <row r="365" spans="1:2" x14ac:dyDescent="0.3">
      <c r="A365" s="69"/>
      <c r="B365" s="69"/>
    </row>
    <row r="366" spans="1:2" x14ac:dyDescent="0.3">
      <c r="A366" s="69"/>
      <c r="B366" s="69"/>
    </row>
    <row r="367" spans="1:2" x14ac:dyDescent="0.3">
      <c r="A367" s="69"/>
      <c r="B367" s="69"/>
    </row>
    <row r="368" spans="1:2" x14ac:dyDescent="0.3">
      <c r="A368" s="69"/>
      <c r="B368" s="69"/>
    </row>
    <row r="369" spans="1:2" x14ac:dyDescent="0.3">
      <c r="A369" s="69"/>
      <c r="B369" s="69"/>
    </row>
    <row r="370" spans="1:2" x14ac:dyDescent="0.3">
      <c r="A370" s="69"/>
      <c r="B370" s="69"/>
    </row>
    <row r="371" spans="1:2" x14ac:dyDescent="0.3">
      <c r="A371" s="69"/>
      <c r="B371" s="69"/>
    </row>
    <row r="372" spans="1:2" x14ac:dyDescent="0.3">
      <c r="A372" s="69"/>
      <c r="B372" s="69"/>
    </row>
    <row r="373" spans="1:2" x14ac:dyDescent="0.3">
      <c r="A373" s="69"/>
      <c r="B373" s="69"/>
    </row>
    <row r="374" spans="1:2" x14ac:dyDescent="0.3">
      <c r="A374" s="69"/>
      <c r="B374" s="69"/>
    </row>
    <row r="375" spans="1:2" x14ac:dyDescent="0.3">
      <c r="A375" s="69"/>
      <c r="B375" s="69"/>
    </row>
    <row r="376" spans="1:2" x14ac:dyDescent="0.3">
      <c r="A376" s="69"/>
      <c r="B376" s="69"/>
    </row>
    <row r="377" spans="1:2" x14ac:dyDescent="0.3">
      <c r="A377" s="69"/>
      <c r="B377" s="69"/>
    </row>
    <row r="378" spans="1:2" x14ac:dyDescent="0.3">
      <c r="A378" s="69"/>
      <c r="B378" s="69"/>
    </row>
    <row r="379" spans="1:2" x14ac:dyDescent="0.3">
      <c r="A379" s="69"/>
      <c r="B379" s="69"/>
    </row>
    <row r="380" spans="1:2" x14ac:dyDescent="0.3">
      <c r="A380" s="69"/>
      <c r="B380" s="69"/>
    </row>
    <row r="381" spans="1:2" x14ac:dyDescent="0.3">
      <c r="A381" s="69"/>
      <c r="B381" s="69"/>
    </row>
    <row r="382" spans="1:2" x14ac:dyDescent="0.3">
      <c r="A382" s="69"/>
      <c r="B382" s="69"/>
    </row>
    <row r="383" spans="1:2" x14ac:dyDescent="0.3">
      <c r="A383" s="69"/>
      <c r="B383" s="69"/>
    </row>
    <row r="384" spans="1:2" x14ac:dyDescent="0.3">
      <c r="A384" s="69"/>
      <c r="B384" s="69"/>
    </row>
    <row r="385" spans="1:2" x14ac:dyDescent="0.3">
      <c r="A385" s="69"/>
      <c r="B385" s="69"/>
    </row>
    <row r="386" spans="1:2" x14ac:dyDescent="0.3">
      <c r="A386" s="69"/>
      <c r="B386" s="69"/>
    </row>
    <row r="387" spans="1:2" x14ac:dyDescent="0.3">
      <c r="A387" s="69"/>
      <c r="B387" s="69"/>
    </row>
    <row r="388" spans="1:2" x14ac:dyDescent="0.3">
      <c r="A388" s="69"/>
      <c r="B388" s="69"/>
    </row>
    <row r="389" spans="1:2" x14ac:dyDescent="0.3">
      <c r="A389" s="69"/>
      <c r="B389" s="69"/>
    </row>
    <row r="390" spans="1:2" x14ac:dyDescent="0.3">
      <c r="A390" s="69"/>
      <c r="B390" s="69"/>
    </row>
    <row r="391" spans="1:2" x14ac:dyDescent="0.3">
      <c r="A391" s="69"/>
      <c r="B391" s="69"/>
    </row>
    <row r="392" spans="1:2" x14ac:dyDescent="0.3">
      <c r="A392" s="69"/>
      <c r="B392" s="69"/>
    </row>
    <row r="393" spans="1:2" x14ac:dyDescent="0.3">
      <c r="A393" s="69"/>
      <c r="B393" s="69"/>
    </row>
    <row r="394" spans="1:2" x14ac:dyDescent="0.3">
      <c r="A394" s="69"/>
      <c r="B394" s="69"/>
    </row>
    <row r="395" spans="1:2" x14ac:dyDescent="0.3">
      <c r="A395" s="69"/>
      <c r="B395" s="69"/>
    </row>
    <row r="396" spans="1:2" x14ac:dyDescent="0.3">
      <c r="A396" s="69"/>
      <c r="B396" s="69"/>
    </row>
    <row r="397" spans="1:2" x14ac:dyDescent="0.3">
      <c r="A397" s="69"/>
      <c r="B397" s="69"/>
    </row>
    <row r="398" spans="1:2" x14ac:dyDescent="0.3">
      <c r="A398" s="69"/>
      <c r="B398" s="69"/>
    </row>
    <row r="399" spans="1:2" x14ac:dyDescent="0.3">
      <c r="A399" s="69"/>
      <c r="B399" s="69"/>
    </row>
    <row r="400" spans="1:2" x14ac:dyDescent="0.3">
      <c r="A400" s="69"/>
      <c r="B400" s="69"/>
    </row>
    <row r="401" spans="1:2" x14ac:dyDescent="0.3">
      <c r="A401" s="69"/>
      <c r="B401" s="69"/>
    </row>
    <row r="402" spans="1:2" x14ac:dyDescent="0.3">
      <c r="A402" s="69"/>
      <c r="B402" s="69"/>
    </row>
    <row r="403" spans="1:2" x14ac:dyDescent="0.3">
      <c r="A403" s="69"/>
      <c r="B403" s="69"/>
    </row>
    <row r="404" spans="1:2" x14ac:dyDescent="0.3">
      <c r="A404" s="69"/>
      <c r="B404" s="69"/>
    </row>
    <row r="405" spans="1:2" x14ac:dyDescent="0.3">
      <c r="A405" s="69"/>
      <c r="B405" s="69"/>
    </row>
    <row r="406" spans="1:2" x14ac:dyDescent="0.3">
      <c r="A406" s="69"/>
      <c r="B406" s="69"/>
    </row>
    <row r="407" spans="1:2" x14ac:dyDescent="0.3">
      <c r="A407" s="69"/>
      <c r="B407" s="69"/>
    </row>
    <row r="408" spans="1:2" x14ac:dyDescent="0.3">
      <c r="A408" s="69"/>
      <c r="B408" s="69"/>
    </row>
    <row r="409" spans="1:2" x14ac:dyDescent="0.3">
      <c r="A409" s="69"/>
      <c r="B409" s="69"/>
    </row>
    <row r="410" spans="1:2" x14ac:dyDescent="0.3">
      <c r="A410" s="69"/>
      <c r="B410" s="69"/>
    </row>
    <row r="411" spans="1:2" x14ac:dyDescent="0.3">
      <c r="A411" s="69"/>
      <c r="B411" s="69"/>
    </row>
    <row r="412" spans="1:2" x14ac:dyDescent="0.3">
      <c r="A412" s="69"/>
      <c r="B412" s="69"/>
    </row>
    <row r="413" spans="1:2" x14ac:dyDescent="0.3">
      <c r="A413" s="69"/>
      <c r="B413" s="69"/>
    </row>
    <row r="414" spans="1:2" x14ac:dyDescent="0.3">
      <c r="A414" s="69"/>
      <c r="B414" s="69"/>
    </row>
    <row r="415" spans="1:2" x14ac:dyDescent="0.3">
      <c r="A415" s="69"/>
      <c r="B415" s="69"/>
    </row>
    <row r="416" spans="1:2" x14ac:dyDescent="0.3">
      <c r="A416" s="69"/>
      <c r="B416" s="69"/>
    </row>
    <row r="417" spans="1:2" x14ac:dyDescent="0.3">
      <c r="A417" s="69"/>
      <c r="B417" s="69"/>
    </row>
    <row r="418" spans="1:2" x14ac:dyDescent="0.3">
      <c r="A418" s="69"/>
      <c r="B418" s="69"/>
    </row>
    <row r="419" spans="1:2" x14ac:dyDescent="0.3">
      <c r="A419" s="69"/>
      <c r="B419" s="69"/>
    </row>
    <row r="420" spans="1:2" x14ac:dyDescent="0.3">
      <c r="A420" s="69"/>
      <c r="B420" s="69"/>
    </row>
    <row r="421" spans="1:2" x14ac:dyDescent="0.3">
      <c r="A421" s="69"/>
      <c r="B421" s="69"/>
    </row>
    <row r="422" spans="1:2" x14ac:dyDescent="0.3">
      <c r="A422" s="69"/>
      <c r="B422" s="69"/>
    </row>
    <row r="423" spans="1:2" x14ac:dyDescent="0.3">
      <c r="A423" s="69"/>
      <c r="B423" s="69"/>
    </row>
    <row r="424" spans="1:2" x14ac:dyDescent="0.3">
      <c r="A424" s="69"/>
      <c r="B424" s="69"/>
    </row>
    <row r="425" spans="1:2" x14ac:dyDescent="0.3">
      <c r="A425" s="69"/>
      <c r="B425" s="69"/>
    </row>
    <row r="426" spans="1:2" x14ac:dyDescent="0.3">
      <c r="A426" s="69"/>
      <c r="B426" s="69"/>
    </row>
    <row r="427" spans="1:2" x14ac:dyDescent="0.3">
      <c r="A427" s="69"/>
      <c r="B427" s="69"/>
    </row>
    <row r="428" spans="1:2" x14ac:dyDescent="0.3">
      <c r="A428" s="69"/>
      <c r="B428" s="69"/>
    </row>
    <row r="429" spans="1:2" x14ac:dyDescent="0.3">
      <c r="A429" s="69"/>
      <c r="B429" s="69"/>
    </row>
    <row r="430" spans="1:2" x14ac:dyDescent="0.3">
      <c r="A430" s="69"/>
      <c r="B430" s="69"/>
    </row>
    <row r="431" spans="1:2" x14ac:dyDescent="0.3">
      <c r="A431" s="69"/>
      <c r="B431" s="69"/>
    </row>
    <row r="432" spans="1:2" x14ac:dyDescent="0.3">
      <c r="A432" s="69"/>
      <c r="B432" s="69"/>
    </row>
    <row r="433" spans="1:2" x14ac:dyDescent="0.3">
      <c r="A433" s="69"/>
      <c r="B433" s="69"/>
    </row>
    <row r="434" spans="1:2" x14ac:dyDescent="0.3">
      <c r="A434" s="69"/>
      <c r="B434" s="69"/>
    </row>
    <row r="435" spans="1:2" x14ac:dyDescent="0.3">
      <c r="A435" s="69"/>
      <c r="B435" s="69"/>
    </row>
    <row r="436" spans="1:2" x14ac:dyDescent="0.3">
      <c r="A436" s="69"/>
      <c r="B436" s="69"/>
    </row>
    <row r="437" spans="1:2" x14ac:dyDescent="0.3">
      <c r="A437" s="69"/>
      <c r="B437" s="69"/>
    </row>
    <row r="438" spans="1:2" x14ac:dyDescent="0.3">
      <c r="A438" s="69"/>
      <c r="B438" s="69"/>
    </row>
    <row r="439" spans="1:2" x14ac:dyDescent="0.3">
      <c r="A439" s="69"/>
      <c r="B439" s="69"/>
    </row>
    <row r="440" spans="1:2" x14ac:dyDescent="0.3">
      <c r="A440" s="69"/>
      <c r="B440" s="69"/>
    </row>
    <row r="441" spans="1:2" x14ac:dyDescent="0.3">
      <c r="A441" s="69"/>
      <c r="B441" s="69"/>
    </row>
    <row r="442" spans="1:2" x14ac:dyDescent="0.3">
      <c r="A442" s="69"/>
      <c r="B442" s="69"/>
    </row>
    <row r="443" spans="1:2" x14ac:dyDescent="0.3">
      <c r="A443" s="69"/>
      <c r="B443" s="69"/>
    </row>
    <row r="444" spans="1:2" x14ac:dyDescent="0.3">
      <c r="A444" s="69"/>
      <c r="B444" s="69"/>
    </row>
    <row r="445" spans="1:2" x14ac:dyDescent="0.3">
      <c r="A445" s="69"/>
      <c r="B445" s="69"/>
    </row>
    <row r="446" spans="1:2" x14ac:dyDescent="0.3">
      <c r="A446" s="69"/>
      <c r="B446" s="69"/>
    </row>
    <row r="447" spans="1:2" x14ac:dyDescent="0.3">
      <c r="A447" s="69"/>
      <c r="B447" s="69"/>
    </row>
    <row r="448" spans="1:2" x14ac:dyDescent="0.3">
      <c r="A448" s="69"/>
      <c r="B448" s="69"/>
    </row>
    <row r="449" spans="1:2" x14ac:dyDescent="0.3">
      <c r="A449" s="69"/>
      <c r="B449" s="69"/>
    </row>
    <row r="450" spans="1:2" x14ac:dyDescent="0.3">
      <c r="A450" s="69"/>
      <c r="B450" s="69"/>
    </row>
    <row r="451" spans="1:2" x14ac:dyDescent="0.3">
      <c r="A451" s="69"/>
      <c r="B451" s="69"/>
    </row>
    <row r="452" spans="1:2" x14ac:dyDescent="0.3">
      <c r="A452" s="69"/>
      <c r="B452" s="69"/>
    </row>
    <row r="453" spans="1:2" x14ac:dyDescent="0.3">
      <c r="A453" s="69"/>
      <c r="B453" s="69"/>
    </row>
    <row r="454" spans="1:2" x14ac:dyDescent="0.3">
      <c r="A454" s="69"/>
      <c r="B454" s="69"/>
    </row>
    <row r="455" spans="1:2" x14ac:dyDescent="0.3">
      <c r="A455" s="69"/>
      <c r="B455" s="69"/>
    </row>
    <row r="456" spans="1:2" x14ac:dyDescent="0.3">
      <c r="A456" s="69"/>
      <c r="B456" s="69"/>
    </row>
    <row r="457" spans="1:2" x14ac:dyDescent="0.3">
      <c r="A457" s="69"/>
      <c r="B457" s="69"/>
    </row>
    <row r="458" spans="1:2" x14ac:dyDescent="0.3">
      <c r="A458" s="69"/>
      <c r="B458" s="69"/>
    </row>
    <row r="459" spans="1:2" x14ac:dyDescent="0.3">
      <c r="A459" s="69"/>
      <c r="B459" s="69"/>
    </row>
    <row r="460" spans="1:2" x14ac:dyDescent="0.3">
      <c r="A460" s="69"/>
      <c r="B460" s="69"/>
    </row>
    <row r="461" spans="1:2" x14ac:dyDescent="0.3">
      <c r="A461" s="69"/>
      <c r="B461" s="69"/>
    </row>
    <row r="462" spans="1:2" x14ac:dyDescent="0.3">
      <c r="A462" s="69"/>
      <c r="B462" s="69"/>
    </row>
    <row r="463" spans="1:2" x14ac:dyDescent="0.3">
      <c r="A463" s="69"/>
      <c r="B463" s="69"/>
    </row>
    <row r="464" spans="1:2" x14ac:dyDescent="0.3">
      <c r="A464" s="69"/>
      <c r="B464" s="69"/>
    </row>
    <row r="465" spans="1:2" x14ac:dyDescent="0.3">
      <c r="A465" s="69"/>
      <c r="B465" s="69"/>
    </row>
    <row r="466" spans="1:2" x14ac:dyDescent="0.3">
      <c r="A466" s="69"/>
      <c r="B466" s="69"/>
    </row>
    <row r="467" spans="1:2" x14ac:dyDescent="0.3">
      <c r="A467" s="69"/>
      <c r="B467" s="69"/>
    </row>
    <row r="468" spans="1:2" x14ac:dyDescent="0.3">
      <c r="A468" s="69"/>
      <c r="B468" s="69"/>
    </row>
    <row r="469" spans="1:2" x14ac:dyDescent="0.3">
      <c r="A469" s="69"/>
      <c r="B469" s="69"/>
    </row>
    <row r="470" spans="1:2" x14ac:dyDescent="0.3">
      <c r="A470" s="69"/>
      <c r="B470" s="69"/>
    </row>
    <row r="471" spans="1:2" x14ac:dyDescent="0.3">
      <c r="A471" s="69"/>
      <c r="B471" s="69"/>
    </row>
    <row r="472" spans="1:2" x14ac:dyDescent="0.3">
      <c r="A472" s="69"/>
      <c r="B472" s="69"/>
    </row>
    <row r="473" spans="1:2" x14ac:dyDescent="0.3">
      <c r="A473" s="69"/>
      <c r="B473" s="69"/>
    </row>
    <row r="474" spans="1:2" x14ac:dyDescent="0.3">
      <c r="A474" s="69"/>
      <c r="B474" s="69"/>
    </row>
    <row r="475" spans="1:2" x14ac:dyDescent="0.3">
      <c r="A475" s="69"/>
      <c r="B475" s="69"/>
    </row>
    <row r="476" spans="1:2" x14ac:dyDescent="0.3">
      <c r="A476" s="69"/>
      <c r="B476" s="69"/>
    </row>
    <row r="477" spans="1:2" x14ac:dyDescent="0.3">
      <c r="A477" s="69"/>
      <c r="B477" s="69"/>
    </row>
    <row r="478" spans="1:2" x14ac:dyDescent="0.3">
      <c r="A478" s="69"/>
      <c r="B478" s="69"/>
    </row>
    <row r="479" spans="1:2" x14ac:dyDescent="0.3">
      <c r="A479" s="69"/>
      <c r="B479" s="69"/>
    </row>
    <row r="480" spans="1:2" x14ac:dyDescent="0.3">
      <c r="A480" s="69"/>
      <c r="B480" s="69"/>
    </row>
    <row r="481" spans="1:2" x14ac:dyDescent="0.3">
      <c r="A481" s="69"/>
      <c r="B481" s="69"/>
    </row>
    <row r="482" spans="1:2" x14ac:dyDescent="0.3">
      <c r="A482" s="69"/>
      <c r="B482" s="69"/>
    </row>
    <row r="483" spans="1:2" x14ac:dyDescent="0.3">
      <c r="A483" s="69"/>
      <c r="B483" s="69"/>
    </row>
    <row r="484" spans="1:2" x14ac:dyDescent="0.3">
      <c r="A484" s="69"/>
      <c r="B484" s="69"/>
    </row>
    <row r="485" spans="1:2" x14ac:dyDescent="0.3">
      <c r="A485" s="69"/>
      <c r="B485" s="69"/>
    </row>
    <row r="486" spans="1:2" x14ac:dyDescent="0.3">
      <c r="A486" s="69"/>
      <c r="B486" s="69"/>
    </row>
    <row r="487" spans="1:2" x14ac:dyDescent="0.3">
      <c r="A487" s="69"/>
      <c r="B487" s="69"/>
    </row>
    <row r="488" spans="1:2" x14ac:dyDescent="0.3">
      <c r="A488" s="69"/>
      <c r="B488" s="69"/>
    </row>
    <row r="489" spans="1:2" x14ac:dyDescent="0.3">
      <c r="A489" s="69"/>
      <c r="B489" s="69"/>
    </row>
    <row r="490" spans="1:2" x14ac:dyDescent="0.3">
      <c r="A490" s="69"/>
      <c r="B490" s="69"/>
    </row>
    <row r="491" spans="1:2" x14ac:dyDescent="0.3">
      <c r="A491" s="69"/>
      <c r="B491" s="69"/>
    </row>
    <row r="492" spans="1:2" x14ac:dyDescent="0.3">
      <c r="A492" s="69"/>
      <c r="B492" s="69"/>
    </row>
    <row r="493" spans="1:2" x14ac:dyDescent="0.3">
      <c r="A493" s="69"/>
      <c r="B493" s="69"/>
    </row>
    <row r="494" spans="1:2" x14ac:dyDescent="0.3">
      <c r="A494" s="69"/>
      <c r="B494" s="69"/>
    </row>
    <row r="495" spans="1:2" x14ac:dyDescent="0.3">
      <c r="A495" s="69"/>
      <c r="B495" s="69"/>
    </row>
    <row r="496" spans="1:2" x14ac:dyDescent="0.3">
      <c r="A496" s="69"/>
      <c r="B496" s="69"/>
    </row>
    <row r="497" spans="1:2" x14ac:dyDescent="0.3">
      <c r="A497" s="69"/>
      <c r="B497" s="69"/>
    </row>
    <row r="498" spans="1:2" x14ac:dyDescent="0.3">
      <c r="A498" s="69"/>
      <c r="B498" s="69"/>
    </row>
    <row r="499" spans="1:2" x14ac:dyDescent="0.3">
      <c r="A499" s="69"/>
      <c r="B499" s="69"/>
    </row>
    <row r="500" spans="1:2" x14ac:dyDescent="0.3">
      <c r="A500" s="69"/>
      <c r="B500" s="69"/>
    </row>
    <row r="501" spans="1:2" x14ac:dyDescent="0.3">
      <c r="A501" s="69"/>
      <c r="B501" s="69"/>
    </row>
    <row r="502" spans="1:2" x14ac:dyDescent="0.3">
      <c r="A502" s="69"/>
      <c r="B502" s="69"/>
    </row>
    <row r="503" spans="1:2" x14ac:dyDescent="0.3">
      <c r="A503" s="69"/>
      <c r="B503" s="69"/>
    </row>
    <row r="504" spans="1:2" x14ac:dyDescent="0.3">
      <c r="A504" s="69"/>
      <c r="B504" s="69"/>
    </row>
    <row r="505" spans="1:2" x14ac:dyDescent="0.3">
      <c r="A505" s="69"/>
      <c r="B505" s="69"/>
    </row>
    <row r="506" spans="1:2" x14ac:dyDescent="0.3">
      <c r="A506" s="69"/>
      <c r="B506" s="69"/>
    </row>
    <row r="507" spans="1:2" x14ac:dyDescent="0.3">
      <c r="A507" s="69"/>
      <c r="B507" s="69"/>
    </row>
    <row r="508" spans="1:2" x14ac:dyDescent="0.3">
      <c r="A508" s="69"/>
      <c r="B508" s="69"/>
    </row>
    <row r="509" spans="1:2" x14ac:dyDescent="0.3">
      <c r="A509" s="69"/>
      <c r="B509" s="69"/>
    </row>
    <row r="510" spans="1:2" x14ac:dyDescent="0.3">
      <c r="A510" s="69"/>
      <c r="B510" s="69"/>
    </row>
    <row r="511" spans="1:2" x14ac:dyDescent="0.3">
      <c r="A511" s="69"/>
      <c r="B511" s="69"/>
    </row>
    <row r="512" spans="1:2" x14ac:dyDescent="0.3">
      <c r="A512" s="69"/>
      <c r="B512" s="69"/>
    </row>
    <row r="513" spans="1:2" x14ac:dyDescent="0.3">
      <c r="A513" s="69"/>
      <c r="B513" s="69"/>
    </row>
    <row r="514" spans="1:2" x14ac:dyDescent="0.3">
      <c r="A514" s="69"/>
      <c r="B514" s="69"/>
    </row>
  </sheetData>
  <mergeCells count="2">
    <mergeCell ref="K5:L5"/>
    <mergeCell ref="K7:L7"/>
  </mergeCells>
  <conditionalFormatting sqref="B1:B1048576">
    <cfRule type="dataBar" priority="1">
      <dataBar>
        <cfvo type="min"/>
        <cfvo type="max"/>
        <color theme="5" tint="-0.499984740745262"/>
      </dataBar>
      <extLst>
        <ext xmlns:x14="http://schemas.microsoft.com/office/spreadsheetml/2009/9/main" uri="{B025F937-C7B1-47D3-B67F-A62EFF666E3E}">
          <x14:id>{A67A9DE0-CC64-7E43-88C3-B130E7482746}</x14:id>
        </ext>
      </extLst>
    </cfRule>
  </conditionalFormatting>
  <pageMargins left="0.7" right="0.7" top="0.75" bottom="0.75" header="0.3" footer="0.3"/>
  <pageSetup paperSize="9" orientation="portrait" horizontalDpi="0" verticalDpi="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67A9DE0-CC64-7E43-88C3-B130E7482746}">
            <x14:dataBar minLength="0" maxLength="100">
              <x14:cfvo type="autoMin"/>
              <x14:cfvo type="autoMax"/>
              <x14:negativeFillColor theme="2" tint="-0.249977111117893"/>
              <x14:axisColor rgb="FF000000"/>
            </x14:dataBar>
          </x14:cfRule>
          <xm:sqref>B1:B1048576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6CC7E-FD56-5643-99ED-2C69F38A2931}">
  <dimension ref="A1:C50"/>
  <sheetViews>
    <sheetView zoomScaleNormal="100" workbookViewId="0">
      <selection activeCell="B14" sqref="B14"/>
    </sheetView>
  </sheetViews>
  <sheetFormatPr defaultColWidth="10.796875" defaultRowHeight="14.4" x14ac:dyDescent="0.3"/>
  <cols>
    <col min="1" max="1" width="10.796875" style="20"/>
    <col min="2" max="2" width="11.796875" style="80" customWidth="1"/>
    <col min="3" max="16384" width="10.796875" style="20"/>
  </cols>
  <sheetData>
    <row r="1" spans="1:3" ht="43.95" customHeight="1" x14ac:dyDescent="0.3">
      <c r="A1" s="21" t="s">
        <v>15</v>
      </c>
      <c r="B1" s="79" t="s">
        <v>17</v>
      </c>
      <c r="C1" s="21" t="s">
        <v>16</v>
      </c>
    </row>
    <row r="2" spans="1:3" x14ac:dyDescent="0.3">
      <c r="A2" s="20">
        <v>0</v>
      </c>
      <c r="B2" s="80">
        <f>0.25 + SIN(A2)</f>
        <v>0.25</v>
      </c>
    </row>
    <row r="3" spans="1:3" x14ac:dyDescent="0.3">
      <c r="A3" s="20">
        <f>A2+1</f>
        <v>1</v>
      </c>
      <c r="B3" s="80">
        <f>0.25 + SIN(B2)</f>
        <v>0.49740395925452296</v>
      </c>
      <c r="C3" s="20" t="str">
        <f>IF((ABS(B3-B2)&lt;= 0.0001), "STOP", "GO")</f>
        <v>GO</v>
      </c>
    </row>
    <row r="4" spans="1:3" x14ac:dyDescent="0.3">
      <c r="A4" s="20">
        <f t="shared" ref="A4:A50" si="0">A3+1</f>
        <v>2</v>
      </c>
      <c r="B4" s="80">
        <f>0.25 + SIN(B3)</f>
        <v>0.72714568554908554</v>
      </c>
      <c r="C4" s="20" t="str">
        <f t="shared" ref="C4:C50" si="1">IF((ABS(B4-B3)&lt;= 0.0001), "STOP", "GO")</f>
        <v>GO</v>
      </c>
    </row>
    <row r="5" spans="1:3" x14ac:dyDescent="0.3">
      <c r="A5" s="20">
        <f t="shared" si="0"/>
        <v>3</v>
      </c>
      <c r="B5" s="80">
        <f t="shared" ref="B5:B16" si="2">0.25 + SIN(B4)</f>
        <v>0.91473995929811147</v>
      </c>
      <c r="C5" s="20" t="str">
        <f t="shared" si="1"/>
        <v>GO</v>
      </c>
    </row>
    <row r="6" spans="1:3" x14ac:dyDescent="0.3">
      <c r="A6" s="20">
        <f t="shared" si="0"/>
        <v>4</v>
      </c>
      <c r="B6" s="80">
        <f>0.25 + SIN(B5)</f>
        <v>1.0424039897103978</v>
      </c>
      <c r="C6" s="20" t="str">
        <f t="shared" si="1"/>
        <v>GO</v>
      </c>
    </row>
    <row r="7" spans="1:3" x14ac:dyDescent="0.3">
      <c r="A7" s="20">
        <f t="shared" si="0"/>
        <v>5</v>
      </c>
      <c r="B7" s="80">
        <f t="shared" si="2"/>
        <v>1.1136186823731418</v>
      </c>
      <c r="C7" s="20" t="str">
        <f t="shared" si="1"/>
        <v>GO</v>
      </c>
    </row>
    <row r="8" spans="1:3" x14ac:dyDescent="0.3">
      <c r="A8" s="20">
        <f t="shared" si="0"/>
        <v>6</v>
      </c>
      <c r="B8" s="80">
        <f t="shared" si="2"/>
        <v>1.1473019064419039</v>
      </c>
      <c r="C8" s="20" t="str">
        <f t="shared" si="1"/>
        <v>GO</v>
      </c>
    </row>
    <row r="9" spans="1:3" x14ac:dyDescent="0.3">
      <c r="A9" s="20">
        <f t="shared" si="0"/>
        <v>7</v>
      </c>
      <c r="B9" s="80">
        <f t="shared" si="2"/>
        <v>1.1616584819390638</v>
      </c>
      <c r="C9" s="20" t="str">
        <f t="shared" si="1"/>
        <v>GO</v>
      </c>
    </row>
    <row r="10" spans="1:3" x14ac:dyDescent="0.3">
      <c r="A10" s="20">
        <f t="shared" si="0"/>
        <v>8</v>
      </c>
      <c r="B10" s="80">
        <f t="shared" si="2"/>
        <v>1.1674641450034624</v>
      </c>
      <c r="C10" s="20" t="str">
        <f t="shared" si="1"/>
        <v>GO</v>
      </c>
    </row>
    <row r="11" spans="1:3" x14ac:dyDescent="0.3">
      <c r="A11" s="20">
        <f t="shared" si="0"/>
        <v>9</v>
      </c>
      <c r="B11" s="80">
        <f t="shared" si="2"/>
        <v>1.169758270228785</v>
      </c>
      <c r="C11" s="20" t="str">
        <f t="shared" si="1"/>
        <v>GO</v>
      </c>
    </row>
    <row r="12" spans="1:3" x14ac:dyDescent="0.3">
      <c r="A12" s="20">
        <f t="shared" si="0"/>
        <v>10</v>
      </c>
      <c r="B12" s="80">
        <f t="shared" si="2"/>
        <v>1.1706562595584273</v>
      </c>
      <c r="C12" s="20" t="str">
        <f t="shared" si="1"/>
        <v>GO</v>
      </c>
    </row>
    <row r="13" spans="1:3" x14ac:dyDescent="0.3">
      <c r="A13" s="20">
        <f t="shared" si="0"/>
        <v>11</v>
      </c>
      <c r="B13" s="80">
        <f t="shared" si="2"/>
        <v>1.171006440216956</v>
      </c>
      <c r="C13" s="20" t="str">
        <f t="shared" si="1"/>
        <v>GO</v>
      </c>
    </row>
    <row r="14" spans="1:3" x14ac:dyDescent="0.3">
      <c r="A14" s="20">
        <f t="shared" si="0"/>
        <v>12</v>
      </c>
      <c r="B14" s="80">
        <f t="shared" si="2"/>
        <v>1.1711427956914591</v>
      </c>
      <c r="C14" s="20" t="str">
        <f t="shared" si="1"/>
        <v>GO</v>
      </c>
    </row>
    <row r="15" spans="1:3" x14ac:dyDescent="0.3">
      <c r="A15" s="20">
        <f t="shared" si="0"/>
        <v>13</v>
      </c>
      <c r="B15" s="80">
        <f t="shared" si="2"/>
        <v>1.1711958600611456</v>
      </c>
      <c r="C15" s="20" t="str">
        <f t="shared" si="1"/>
        <v>STOP</v>
      </c>
    </row>
    <row r="16" spans="1:3" x14ac:dyDescent="0.3">
      <c r="A16" s="20">
        <f t="shared" si="0"/>
        <v>14</v>
      </c>
      <c r="B16" s="80">
        <f t="shared" si="2"/>
        <v>1.1712165060679629</v>
      </c>
      <c r="C16" s="20" t="str">
        <f t="shared" si="1"/>
        <v>STOP</v>
      </c>
    </row>
    <row r="17" spans="1:3" x14ac:dyDescent="0.3">
      <c r="A17" s="20">
        <f t="shared" si="0"/>
        <v>15</v>
      </c>
      <c r="B17" s="80">
        <f t="shared" ref="B17:B50" si="3">0.25 + SIN(B16)</f>
        <v>1.171224538207116</v>
      </c>
      <c r="C17" s="20" t="str">
        <f t="shared" si="1"/>
        <v>STOP</v>
      </c>
    </row>
    <row r="18" spans="1:3" x14ac:dyDescent="0.3">
      <c r="A18" s="20">
        <f t="shared" si="0"/>
        <v>16</v>
      </c>
      <c r="B18" s="80">
        <f t="shared" si="3"/>
        <v>1.1712276629309135</v>
      </c>
      <c r="C18" s="20" t="str">
        <f t="shared" si="1"/>
        <v>STOP</v>
      </c>
    </row>
    <row r="19" spans="1:3" x14ac:dyDescent="0.3">
      <c r="A19" s="20">
        <f t="shared" si="0"/>
        <v>17</v>
      </c>
      <c r="B19" s="80">
        <f t="shared" si="3"/>
        <v>1.1712288785186473</v>
      </c>
      <c r="C19" s="20" t="str">
        <f t="shared" si="1"/>
        <v>STOP</v>
      </c>
    </row>
    <row r="20" spans="1:3" x14ac:dyDescent="0.3">
      <c r="A20" s="20">
        <f t="shared" si="0"/>
        <v>18</v>
      </c>
      <c r="B20" s="80">
        <f t="shared" si="3"/>
        <v>1.1712293514071459</v>
      </c>
      <c r="C20" s="20" t="str">
        <f t="shared" si="1"/>
        <v>STOP</v>
      </c>
    </row>
    <row r="21" spans="1:3" x14ac:dyDescent="0.3">
      <c r="A21" s="20">
        <f t="shared" si="0"/>
        <v>19</v>
      </c>
      <c r="B21" s="80">
        <f t="shared" si="3"/>
        <v>1.171229535370079</v>
      </c>
      <c r="C21" s="20" t="str">
        <f t="shared" si="1"/>
        <v>STOP</v>
      </c>
    </row>
    <row r="22" spans="1:3" x14ac:dyDescent="0.3">
      <c r="A22" s="20">
        <f t="shared" si="0"/>
        <v>20</v>
      </c>
      <c r="B22" s="80">
        <f t="shared" si="3"/>
        <v>1.171229606935225</v>
      </c>
      <c r="C22" s="20" t="str">
        <f t="shared" si="1"/>
        <v>STOP</v>
      </c>
    </row>
    <row r="23" spans="1:3" x14ac:dyDescent="0.3">
      <c r="A23" s="20">
        <f t="shared" si="0"/>
        <v>21</v>
      </c>
      <c r="B23" s="80">
        <f t="shared" si="3"/>
        <v>1.1712296347754454</v>
      </c>
      <c r="C23" s="20" t="str">
        <f t="shared" si="1"/>
        <v>STOP</v>
      </c>
    </row>
    <row r="24" spans="1:3" x14ac:dyDescent="0.3">
      <c r="A24" s="20">
        <f t="shared" si="0"/>
        <v>22</v>
      </c>
      <c r="B24" s="80">
        <f t="shared" si="3"/>
        <v>1.171229645605826</v>
      </c>
      <c r="C24" s="20" t="str">
        <f t="shared" si="1"/>
        <v>STOP</v>
      </c>
    </row>
    <row r="25" spans="1:3" x14ac:dyDescent="0.3">
      <c r="A25" s="20">
        <f t="shared" si="0"/>
        <v>23</v>
      </c>
      <c r="B25" s="80">
        <f t="shared" si="3"/>
        <v>1.1712296498190518</v>
      </c>
      <c r="C25" s="20" t="str">
        <f t="shared" si="1"/>
        <v>STOP</v>
      </c>
    </row>
    <row r="26" spans="1:3" x14ac:dyDescent="0.3">
      <c r="A26" s="20">
        <f t="shared" si="0"/>
        <v>24</v>
      </c>
      <c r="B26" s="80">
        <f t="shared" si="3"/>
        <v>1.1712296514580776</v>
      </c>
      <c r="C26" s="20" t="str">
        <f t="shared" si="1"/>
        <v>STOP</v>
      </c>
    </row>
    <row r="27" spans="1:3" x14ac:dyDescent="0.3">
      <c r="A27" s="20">
        <f t="shared" si="0"/>
        <v>25</v>
      </c>
      <c r="B27" s="80">
        <f t="shared" si="3"/>
        <v>1.1712296520956902</v>
      </c>
      <c r="C27" s="20" t="str">
        <f t="shared" si="1"/>
        <v>STOP</v>
      </c>
    </row>
    <row r="28" spans="1:3" x14ac:dyDescent="0.3">
      <c r="A28" s="20">
        <f t="shared" si="0"/>
        <v>26</v>
      </c>
      <c r="B28" s="80">
        <f t="shared" si="3"/>
        <v>1.1712296523437336</v>
      </c>
      <c r="C28" s="20" t="str">
        <f t="shared" si="1"/>
        <v>STOP</v>
      </c>
    </row>
    <row r="29" spans="1:3" x14ac:dyDescent="0.3">
      <c r="A29" s="20">
        <f t="shared" si="0"/>
        <v>27</v>
      </c>
      <c r="B29" s="80">
        <f t="shared" si="3"/>
        <v>1.1712296524402273</v>
      </c>
      <c r="C29" s="20" t="str">
        <f t="shared" si="1"/>
        <v>STOP</v>
      </c>
    </row>
    <row r="30" spans="1:3" x14ac:dyDescent="0.3">
      <c r="A30" s="20">
        <f t="shared" si="0"/>
        <v>28</v>
      </c>
      <c r="B30" s="80">
        <f t="shared" si="3"/>
        <v>1.171229652477765</v>
      </c>
      <c r="C30" s="20" t="str">
        <f t="shared" si="1"/>
        <v>STOP</v>
      </c>
    </row>
    <row r="31" spans="1:3" x14ac:dyDescent="0.3">
      <c r="A31" s="20">
        <f t="shared" si="0"/>
        <v>29</v>
      </c>
      <c r="B31" s="80">
        <f t="shared" si="3"/>
        <v>1.171229652492368</v>
      </c>
      <c r="C31" s="20" t="str">
        <f t="shared" si="1"/>
        <v>STOP</v>
      </c>
    </row>
    <row r="32" spans="1:3" x14ac:dyDescent="0.3">
      <c r="A32" s="20">
        <f t="shared" si="0"/>
        <v>30</v>
      </c>
      <c r="B32" s="80">
        <f t="shared" si="3"/>
        <v>1.1712296524980488</v>
      </c>
      <c r="C32" s="20" t="str">
        <f t="shared" si="1"/>
        <v>STOP</v>
      </c>
    </row>
    <row r="33" spans="1:3" x14ac:dyDescent="0.3">
      <c r="A33" s="20">
        <f t="shared" si="0"/>
        <v>31</v>
      </c>
      <c r="B33" s="80">
        <f t="shared" si="3"/>
        <v>1.1712296525002588</v>
      </c>
      <c r="C33" s="20" t="str">
        <f t="shared" si="1"/>
        <v>STOP</v>
      </c>
    </row>
    <row r="34" spans="1:3" x14ac:dyDescent="0.3">
      <c r="A34" s="20">
        <f t="shared" si="0"/>
        <v>32</v>
      </c>
      <c r="B34" s="80">
        <f t="shared" si="3"/>
        <v>1.1712296525011185</v>
      </c>
      <c r="C34" s="20" t="str">
        <f t="shared" si="1"/>
        <v>STOP</v>
      </c>
    </row>
    <row r="35" spans="1:3" x14ac:dyDescent="0.3">
      <c r="A35" s="20">
        <f t="shared" si="0"/>
        <v>33</v>
      </c>
      <c r="B35" s="80">
        <f t="shared" si="3"/>
        <v>1.1712296525014532</v>
      </c>
      <c r="C35" s="20" t="str">
        <f t="shared" si="1"/>
        <v>STOP</v>
      </c>
    </row>
    <row r="36" spans="1:3" x14ac:dyDescent="0.3">
      <c r="A36" s="20">
        <f t="shared" si="0"/>
        <v>34</v>
      </c>
      <c r="B36" s="80">
        <f t="shared" si="3"/>
        <v>1.1712296525015833</v>
      </c>
      <c r="C36" s="20" t="str">
        <f t="shared" si="1"/>
        <v>STOP</v>
      </c>
    </row>
    <row r="37" spans="1:3" x14ac:dyDescent="0.3">
      <c r="A37" s="20">
        <f t="shared" si="0"/>
        <v>35</v>
      </c>
      <c r="B37" s="80">
        <f t="shared" si="3"/>
        <v>1.1712296525016339</v>
      </c>
      <c r="C37" s="20" t="str">
        <f t="shared" si="1"/>
        <v>STOP</v>
      </c>
    </row>
    <row r="38" spans="1:3" x14ac:dyDescent="0.3">
      <c r="A38" s="20">
        <f t="shared" si="0"/>
        <v>36</v>
      </c>
      <c r="B38" s="80">
        <f t="shared" si="3"/>
        <v>1.1712296525016535</v>
      </c>
      <c r="C38" s="20" t="str">
        <f t="shared" si="1"/>
        <v>STOP</v>
      </c>
    </row>
    <row r="39" spans="1:3" x14ac:dyDescent="0.3">
      <c r="A39" s="20">
        <f t="shared" si="0"/>
        <v>37</v>
      </c>
      <c r="B39" s="80">
        <f t="shared" si="3"/>
        <v>1.171229652501661</v>
      </c>
      <c r="C39" s="20" t="str">
        <f t="shared" si="1"/>
        <v>STOP</v>
      </c>
    </row>
    <row r="40" spans="1:3" x14ac:dyDescent="0.3">
      <c r="A40" s="20">
        <f t="shared" si="0"/>
        <v>38</v>
      </c>
      <c r="B40" s="80">
        <f t="shared" si="3"/>
        <v>1.1712296525016641</v>
      </c>
      <c r="C40" s="20" t="str">
        <f t="shared" si="1"/>
        <v>STOP</v>
      </c>
    </row>
    <row r="41" spans="1:3" x14ac:dyDescent="0.3">
      <c r="A41" s="20">
        <f t="shared" si="0"/>
        <v>39</v>
      </c>
      <c r="B41" s="80">
        <f t="shared" si="3"/>
        <v>1.1712296525016652</v>
      </c>
      <c r="C41" s="20" t="str">
        <f t="shared" si="1"/>
        <v>STOP</v>
      </c>
    </row>
    <row r="42" spans="1:3" x14ac:dyDescent="0.3">
      <c r="A42" s="20">
        <f t="shared" si="0"/>
        <v>40</v>
      </c>
      <c r="B42" s="80">
        <f t="shared" si="3"/>
        <v>1.1712296525016657</v>
      </c>
      <c r="C42" s="20" t="str">
        <f t="shared" si="1"/>
        <v>STOP</v>
      </c>
    </row>
    <row r="43" spans="1:3" x14ac:dyDescent="0.3">
      <c r="A43" s="20">
        <f t="shared" si="0"/>
        <v>41</v>
      </c>
      <c r="B43" s="80">
        <f t="shared" si="3"/>
        <v>1.1712296525016659</v>
      </c>
      <c r="C43" s="20" t="str">
        <f t="shared" si="1"/>
        <v>STOP</v>
      </c>
    </row>
    <row r="44" spans="1:3" x14ac:dyDescent="0.3">
      <c r="A44" s="20">
        <f t="shared" si="0"/>
        <v>42</v>
      </c>
      <c r="B44" s="80">
        <f t="shared" si="3"/>
        <v>1.1712296525016659</v>
      </c>
      <c r="C44" s="20" t="str">
        <f t="shared" si="1"/>
        <v>STOP</v>
      </c>
    </row>
    <row r="45" spans="1:3" x14ac:dyDescent="0.3">
      <c r="A45" s="20">
        <f t="shared" si="0"/>
        <v>43</v>
      </c>
      <c r="B45" s="80">
        <f t="shared" si="3"/>
        <v>1.1712296525016659</v>
      </c>
      <c r="C45" s="20" t="str">
        <f t="shared" si="1"/>
        <v>STOP</v>
      </c>
    </row>
    <row r="46" spans="1:3" x14ac:dyDescent="0.3">
      <c r="A46" s="20">
        <f t="shared" si="0"/>
        <v>44</v>
      </c>
      <c r="B46" s="80">
        <f t="shared" si="3"/>
        <v>1.1712296525016659</v>
      </c>
      <c r="C46" s="20" t="str">
        <f t="shared" si="1"/>
        <v>STOP</v>
      </c>
    </row>
    <row r="47" spans="1:3" x14ac:dyDescent="0.3">
      <c r="A47" s="20">
        <f t="shared" si="0"/>
        <v>45</v>
      </c>
      <c r="B47" s="80">
        <f t="shared" si="3"/>
        <v>1.1712296525016659</v>
      </c>
      <c r="C47" s="20" t="str">
        <f t="shared" si="1"/>
        <v>STOP</v>
      </c>
    </row>
    <row r="48" spans="1:3" x14ac:dyDescent="0.3">
      <c r="A48" s="20">
        <f t="shared" si="0"/>
        <v>46</v>
      </c>
      <c r="B48" s="80">
        <f t="shared" si="3"/>
        <v>1.1712296525016659</v>
      </c>
      <c r="C48" s="20" t="str">
        <f t="shared" si="1"/>
        <v>STOP</v>
      </c>
    </row>
    <row r="49" spans="1:3" x14ac:dyDescent="0.3">
      <c r="A49" s="20">
        <f t="shared" si="0"/>
        <v>47</v>
      </c>
      <c r="B49" s="80">
        <f t="shared" si="3"/>
        <v>1.1712296525016659</v>
      </c>
      <c r="C49" s="20" t="str">
        <f t="shared" si="1"/>
        <v>STOP</v>
      </c>
    </row>
    <row r="50" spans="1:3" x14ac:dyDescent="0.3">
      <c r="A50" s="20">
        <f t="shared" si="0"/>
        <v>48</v>
      </c>
      <c r="B50" s="80">
        <f t="shared" si="3"/>
        <v>1.1712296525016659</v>
      </c>
      <c r="C50" s="20" t="str">
        <f t="shared" si="1"/>
        <v>STOP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D5376-7AB4-BF41-B984-099598962A2C}">
  <dimension ref="A1:G36"/>
  <sheetViews>
    <sheetView zoomScaleNormal="100" workbookViewId="0">
      <pane ySplit="2" topLeftCell="A3" activePane="bottomLeft" state="frozen"/>
      <selection activeCell="N14" sqref="N14"/>
      <selection pane="bottomLeft" activeCell="K21" sqref="K21"/>
    </sheetView>
  </sheetViews>
  <sheetFormatPr defaultColWidth="10.796875" defaultRowHeight="15.6" x14ac:dyDescent="0.3"/>
  <cols>
    <col min="1" max="6" width="14" style="77" bestFit="1" customWidth="1"/>
    <col min="7" max="7" width="10.796875" style="77"/>
    <col min="8" max="8" width="14" style="77" bestFit="1" customWidth="1"/>
    <col min="9" max="9" width="6.796875" style="77" customWidth="1"/>
    <col min="10" max="10" width="10.796875" style="77"/>
    <col min="11" max="11" width="11" style="77" customWidth="1"/>
    <col min="12" max="16384" width="10.796875" style="77"/>
  </cols>
  <sheetData>
    <row r="1" spans="1:7" ht="49.05" customHeight="1" x14ac:dyDescent="0.3">
      <c r="A1" s="200" t="s">
        <v>39</v>
      </c>
      <c r="B1" s="200"/>
      <c r="C1" s="200" t="s">
        <v>42</v>
      </c>
      <c r="D1" s="200"/>
      <c r="E1" s="200" t="s">
        <v>40</v>
      </c>
      <c r="F1" s="200" t="s">
        <v>47</v>
      </c>
      <c r="G1" s="200" t="s">
        <v>16</v>
      </c>
    </row>
    <row r="2" spans="1:7" ht="16.05" customHeight="1" x14ac:dyDescent="0.3">
      <c r="A2" s="77" t="s">
        <v>44</v>
      </c>
      <c r="B2" s="77" t="s">
        <v>45</v>
      </c>
      <c r="C2" s="78" t="s">
        <v>43</v>
      </c>
      <c r="D2" s="78" t="s">
        <v>41</v>
      </c>
      <c r="E2" s="200"/>
      <c r="F2" s="200"/>
      <c r="G2" s="200"/>
    </row>
    <row r="3" spans="1:7" x14ac:dyDescent="0.3">
      <c r="A3" s="77">
        <v>0</v>
      </c>
      <c r="B3" s="77">
        <v>2</v>
      </c>
      <c r="C3" s="77">
        <f>A3-SIN(A3)-0.25</f>
        <v>-0.25</v>
      </c>
      <c r="D3" s="77">
        <f>B3-SIN(B3)-0.25</f>
        <v>0.84070257317431829</v>
      </c>
      <c r="E3" s="77">
        <f>(A3+B3)/2</f>
        <v>1</v>
      </c>
      <c r="F3" s="77">
        <f>E3-SIN(E3)-0.25</f>
        <v>-9.1470984807896505E-2</v>
      </c>
      <c r="G3" s="77" t="str">
        <f>IF((ABS(D3-C3)&lt;= 0.0001), "STOP", "GO")</f>
        <v>GO</v>
      </c>
    </row>
    <row r="4" spans="1:7" x14ac:dyDescent="0.3">
      <c r="A4" s="77">
        <f>E3</f>
        <v>1</v>
      </c>
      <c r="B4" s="77">
        <f>B3</f>
        <v>2</v>
      </c>
      <c r="C4" s="77">
        <f>A4-SIN(A4)-0.25</f>
        <v>-9.1470984807896505E-2</v>
      </c>
      <c r="D4" s="77">
        <f>B4-SIN(B4)-0.25</f>
        <v>0.84070257317431829</v>
      </c>
      <c r="E4" s="77">
        <f>(A4+B4)/2</f>
        <v>1.5</v>
      </c>
      <c r="F4" s="77">
        <f>E4-SIN(E4)-0.25</f>
        <v>0.25250501339594555</v>
      </c>
      <c r="G4" s="77" t="str">
        <f>IF((ABS(D4-C4)&lt;= 0.0001), "STOP", "GO")</f>
        <v>GO</v>
      </c>
    </row>
    <row r="5" spans="1:7" x14ac:dyDescent="0.3">
      <c r="A5" s="77">
        <f>E4</f>
        <v>1.5</v>
      </c>
      <c r="B5" s="77">
        <f>B4</f>
        <v>2</v>
      </c>
      <c r="C5" s="77">
        <f>A5-SIN(A5)-0.25</f>
        <v>0.25250501339594555</v>
      </c>
      <c r="D5" s="77">
        <f>B5-SIN(B5)-0.25</f>
        <v>0.84070257317431829</v>
      </c>
      <c r="E5" s="77">
        <f>(A5+B5)/2</f>
        <v>1.75</v>
      </c>
      <c r="F5" s="77">
        <f>E5-SIN(E5)-0.25</f>
        <v>0.51601405312606308</v>
      </c>
      <c r="G5" s="77" t="str">
        <f>IF((ABS(D5-C5)&lt;= 0.0001), "STOP", "GO")</f>
        <v>GO</v>
      </c>
    </row>
    <row r="6" spans="1:7" x14ac:dyDescent="0.3">
      <c r="A6" s="77">
        <f>E5</f>
        <v>1.75</v>
      </c>
      <c r="B6" s="77">
        <f>B5</f>
        <v>2</v>
      </c>
      <c r="C6" s="77">
        <f>A6-SIN(A6)-0.25</f>
        <v>0.51601405312606308</v>
      </c>
      <c r="D6" s="77">
        <f>B6-SIN(B6)-0.25</f>
        <v>0.84070257317431829</v>
      </c>
      <c r="E6" s="77">
        <f>(A6+B6)/2</f>
        <v>1.875</v>
      </c>
      <c r="F6" s="77">
        <f>E6-SIN(E6)-0.25</f>
        <v>0.67091421839030618</v>
      </c>
      <c r="G6" s="77" t="str">
        <f>IF((ABS(D6-C6)&lt;= 0.0001), "STOP", "GO")</f>
        <v>GO</v>
      </c>
    </row>
    <row r="7" spans="1:7" x14ac:dyDescent="0.3">
      <c r="A7" s="77">
        <f>E6</f>
        <v>1.875</v>
      </c>
      <c r="B7" s="77">
        <f>B6</f>
        <v>2</v>
      </c>
      <c r="C7" s="77">
        <f>A7-SIN(A7)-0.25</f>
        <v>0.67091421839030618</v>
      </c>
      <c r="D7" s="77">
        <f>B7-SIN(B7)-0.25</f>
        <v>0.84070257317431829</v>
      </c>
      <c r="E7" s="77">
        <f>(A7+B7)/2</f>
        <v>1.9375</v>
      </c>
      <c r="F7" s="77">
        <f>E7-SIN(E7)-0.25</f>
        <v>0.7539857191376238</v>
      </c>
      <c r="G7" s="77" t="str">
        <f>IF((ABS(D7-C7)&lt;= 0.0001), "STOP", "GO")</f>
        <v>GO</v>
      </c>
    </row>
    <row r="8" spans="1:7" x14ac:dyDescent="0.3">
      <c r="A8" s="77">
        <f>E7</f>
        <v>1.9375</v>
      </c>
      <c r="B8" s="77">
        <f>B7</f>
        <v>2</v>
      </c>
      <c r="C8" s="77">
        <f>A8-SIN(A8)-0.25</f>
        <v>0.7539857191376238</v>
      </c>
      <c r="D8" s="77">
        <f>B8-SIN(B8)-0.25</f>
        <v>0.84070257317431829</v>
      </c>
      <c r="E8" s="77">
        <f>(A8+B8)/2</f>
        <v>1.96875</v>
      </c>
      <c r="F8" s="77">
        <f>E8-SIN(E8)-0.25</f>
        <v>0.79689405781427225</v>
      </c>
      <c r="G8" s="77" t="str">
        <f>IF((ABS(D8-C8)&lt;= 0.0001), "STOP", "GO")</f>
        <v>GO</v>
      </c>
    </row>
    <row r="9" spans="1:7" x14ac:dyDescent="0.3">
      <c r="A9" s="77">
        <f>E8</f>
        <v>1.96875</v>
      </c>
      <c r="B9" s="77">
        <f>B8</f>
        <v>2</v>
      </c>
      <c r="C9" s="77">
        <f>A9-SIN(A9)-0.25</f>
        <v>0.79689405781427225</v>
      </c>
      <c r="D9" s="77">
        <f>B9-SIN(B9)-0.25</f>
        <v>0.84070257317431829</v>
      </c>
      <c r="E9" s="77">
        <f>(A9+B9)/2</f>
        <v>1.984375</v>
      </c>
      <c r="F9" s="77">
        <f>E9-SIN(E9)-0.25</f>
        <v>0.81868653939187475</v>
      </c>
      <c r="G9" s="77" t="str">
        <f>IF((ABS(D9-C9)&lt;= 0.0001), "STOP", "GO")</f>
        <v>GO</v>
      </c>
    </row>
    <row r="10" spans="1:7" x14ac:dyDescent="0.3">
      <c r="A10" s="77">
        <f t="shared" ref="A10:A19" si="0">E9</f>
        <v>1.984375</v>
      </c>
      <c r="B10" s="77">
        <f t="shared" ref="B10:B19" si="1">B9</f>
        <v>2</v>
      </c>
      <c r="C10" s="77">
        <f t="shared" ref="C10:C19" si="2">A10-SIN(A10)-0.25</f>
        <v>0.81868653939187475</v>
      </c>
      <c r="D10" s="77">
        <f t="shared" ref="D10:D19" si="3">B10-SIN(B10)-0.25</f>
        <v>0.84070257317431829</v>
      </c>
      <c r="E10" s="77">
        <f t="shared" ref="E10:E19" si="4">(A10+B10)/2</f>
        <v>1.9921875</v>
      </c>
      <c r="F10" s="77">
        <f t="shared" ref="F10:F19" si="5">E10-SIN(E10)-0.25</f>
        <v>0.82966670850019275</v>
      </c>
      <c r="G10" s="77" t="str">
        <f t="shared" ref="G10:G19" si="6">IF((ABS(D10-C10)&lt;= 0.0001), "STOP", "GO")</f>
        <v>GO</v>
      </c>
    </row>
    <row r="11" spans="1:7" x14ac:dyDescent="0.3">
      <c r="A11" s="77">
        <f t="shared" si="0"/>
        <v>1.9921875</v>
      </c>
      <c r="B11" s="77">
        <f t="shared" si="1"/>
        <v>2</v>
      </c>
      <c r="C11" s="77">
        <f t="shared" si="2"/>
        <v>0.82966670850019275</v>
      </c>
      <c r="D11" s="77">
        <f t="shared" si="3"/>
        <v>0.84070257317431829</v>
      </c>
      <c r="E11" s="77">
        <f t="shared" si="4"/>
        <v>1.99609375</v>
      </c>
      <c r="F11" s="77">
        <f t="shared" si="5"/>
        <v>0.83517769110809459</v>
      </c>
      <c r="G11" s="77" t="str">
        <f t="shared" si="6"/>
        <v>GO</v>
      </c>
    </row>
    <row r="12" spans="1:7" x14ac:dyDescent="0.3">
      <c r="A12" s="77">
        <f t="shared" si="0"/>
        <v>1.99609375</v>
      </c>
      <c r="B12" s="77">
        <f t="shared" si="1"/>
        <v>2</v>
      </c>
      <c r="C12" s="77">
        <f t="shared" si="2"/>
        <v>0.83517769110809459</v>
      </c>
      <c r="D12" s="77">
        <f t="shared" si="3"/>
        <v>0.84070257317431829</v>
      </c>
      <c r="E12" s="77">
        <f t="shared" si="4"/>
        <v>1.998046875</v>
      </c>
      <c r="F12" s="77">
        <f t="shared" si="5"/>
        <v>0.83793839624759547</v>
      </c>
      <c r="G12" s="77" t="str">
        <f t="shared" si="6"/>
        <v>GO</v>
      </c>
    </row>
    <row r="13" spans="1:7" x14ac:dyDescent="0.3">
      <c r="A13" s="77">
        <f t="shared" si="0"/>
        <v>1.998046875</v>
      </c>
      <c r="B13" s="77">
        <f t="shared" si="1"/>
        <v>2</v>
      </c>
      <c r="C13" s="77">
        <f t="shared" si="2"/>
        <v>0.83793839624759547</v>
      </c>
      <c r="D13" s="77">
        <f t="shared" si="3"/>
        <v>0.84070257317431829</v>
      </c>
      <c r="E13" s="77">
        <f t="shared" si="4"/>
        <v>1.9990234375</v>
      </c>
      <c r="F13" s="77">
        <f t="shared" si="5"/>
        <v>0.83932005093061379</v>
      </c>
      <c r="G13" s="77" t="str">
        <f t="shared" si="6"/>
        <v>GO</v>
      </c>
    </row>
    <row r="14" spans="1:7" x14ac:dyDescent="0.3">
      <c r="A14" s="77">
        <f t="shared" si="0"/>
        <v>1.9990234375</v>
      </c>
      <c r="B14" s="77">
        <f t="shared" si="1"/>
        <v>2</v>
      </c>
      <c r="C14" s="77">
        <f t="shared" si="2"/>
        <v>0.83932005093061379</v>
      </c>
      <c r="D14" s="77">
        <f t="shared" si="3"/>
        <v>0.84070257317431829</v>
      </c>
      <c r="E14" s="77">
        <f t="shared" si="4"/>
        <v>1.99951171875</v>
      </c>
      <c r="F14" s="77">
        <f t="shared" si="5"/>
        <v>0.8400112036315579</v>
      </c>
      <c r="G14" s="77" t="str">
        <f t="shared" si="6"/>
        <v>GO</v>
      </c>
    </row>
    <row r="15" spans="1:7" x14ac:dyDescent="0.3">
      <c r="A15" s="77">
        <f t="shared" si="0"/>
        <v>1.99951171875</v>
      </c>
      <c r="B15" s="77">
        <f t="shared" si="1"/>
        <v>2</v>
      </c>
      <c r="C15" s="77">
        <f t="shared" si="2"/>
        <v>0.8400112036315579</v>
      </c>
      <c r="D15" s="77">
        <f t="shared" si="3"/>
        <v>0.84070257317431829</v>
      </c>
      <c r="E15" s="77">
        <f t="shared" si="4"/>
        <v>1.999755859375</v>
      </c>
      <c r="F15" s="77">
        <f t="shared" si="5"/>
        <v>0.84035686130073617</v>
      </c>
      <c r="G15" s="77" t="str">
        <f t="shared" si="6"/>
        <v>GO</v>
      </c>
    </row>
    <row r="16" spans="1:7" x14ac:dyDescent="0.3">
      <c r="A16" s="77">
        <f t="shared" si="0"/>
        <v>1.999755859375</v>
      </c>
      <c r="B16" s="77">
        <f t="shared" si="1"/>
        <v>2</v>
      </c>
      <c r="C16" s="77">
        <f t="shared" si="2"/>
        <v>0.84035686130073617</v>
      </c>
      <c r="D16" s="77">
        <f t="shared" si="3"/>
        <v>0.84070257317431829</v>
      </c>
      <c r="E16" s="77">
        <f t="shared" si="4"/>
        <v>1.9998779296875</v>
      </c>
      <c r="F16" s="77">
        <f t="shared" si="5"/>
        <v>0.84052971046235503</v>
      </c>
      <c r="G16" s="77" t="str">
        <f t="shared" si="6"/>
        <v>GO</v>
      </c>
    </row>
    <row r="17" spans="1:7" x14ac:dyDescent="0.3">
      <c r="A17" s="77">
        <f t="shared" si="0"/>
        <v>1.9998779296875</v>
      </c>
      <c r="B17" s="77">
        <f t="shared" si="1"/>
        <v>2</v>
      </c>
      <c r="C17" s="77">
        <f t="shared" si="2"/>
        <v>0.84052971046235503</v>
      </c>
      <c r="D17" s="77">
        <f t="shared" si="3"/>
        <v>0.84070257317431829</v>
      </c>
      <c r="E17" s="77">
        <f t="shared" si="4"/>
        <v>1.99993896484375</v>
      </c>
      <c r="F17" s="77">
        <f t="shared" si="5"/>
        <v>0.84061614012459085</v>
      </c>
      <c r="G17" s="77" t="str">
        <f>IF((ABS(D17-C17)&lt;= 0.0001), "STOP", "GO")</f>
        <v>GO</v>
      </c>
    </row>
    <row r="18" spans="1:7" x14ac:dyDescent="0.3">
      <c r="A18" s="77">
        <f t="shared" si="0"/>
        <v>1.99993896484375</v>
      </c>
      <c r="B18" s="77">
        <f t="shared" si="1"/>
        <v>2</v>
      </c>
      <c r="C18" s="77">
        <f t="shared" si="2"/>
        <v>0.84061614012459085</v>
      </c>
      <c r="D18" s="77">
        <f t="shared" si="3"/>
        <v>0.84070257317431829</v>
      </c>
      <c r="E18" s="77">
        <f t="shared" si="4"/>
        <v>1.999969482421875</v>
      </c>
      <c r="F18" s="77">
        <f t="shared" si="5"/>
        <v>0.84065935622602406</v>
      </c>
      <c r="G18" s="77" t="str">
        <f t="shared" si="6"/>
        <v>STOP</v>
      </c>
    </row>
    <row r="36" spans="1:6" s="81" customFormat="1" x14ac:dyDescent="0.3">
      <c r="A36" s="77"/>
      <c r="B36" s="77"/>
      <c r="C36" s="77"/>
      <c r="D36" s="77"/>
      <c r="E36" s="77"/>
      <c r="F36" s="77"/>
    </row>
  </sheetData>
  <mergeCells count="5">
    <mergeCell ref="A1:B1"/>
    <mergeCell ref="E1:E2"/>
    <mergeCell ref="G1:G2"/>
    <mergeCell ref="F1:F2"/>
    <mergeCell ref="C1:D1"/>
  </mergeCells>
  <pageMargins left="0.7" right="0.7" top="0.75" bottom="0.75" header="0.3" footer="0.3"/>
  <pageSetup paperSize="9" orientation="portrait" horizontalDpi="0" verticalDpi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038C0-048A-A547-8FB5-6F4765F06304}">
  <dimension ref="A7:S18"/>
  <sheetViews>
    <sheetView zoomScaleNormal="100" workbookViewId="0">
      <selection activeCell="M21" sqref="M21"/>
    </sheetView>
  </sheetViews>
  <sheetFormatPr defaultColWidth="11" defaultRowHeight="15.6" x14ac:dyDescent="0.3"/>
  <cols>
    <col min="5" max="5" width="12.796875" customWidth="1"/>
    <col min="6" max="6" width="12.69921875" customWidth="1"/>
    <col min="7" max="7" width="13" customWidth="1"/>
  </cols>
  <sheetData>
    <row r="7" spans="1:19" ht="23.4" x14ac:dyDescent="0.3">
      <c r="B7" s="92" t="s">
        <v>6</v>
      </c>
      <c r="C7" s="93" t="s">
        <v>7</v>
      </c>
      <c r="D7" s="94" t="s">
        <v>46</v>
      </c>
    </row>
    <row r="8" spans="1:19" ht="23.4" x14ac:dyDescent="0.3">
      <c r="B8" s="82">
        <v>7.6</v>
      </c>
      <c r="C8" s="83">
        <v>5.8</v>
      </c>
      <c r="D8" s="84">
        <v>4.7</v>
      </c>
      <c r="G8" s="96">
        <v>10.1</v>
      </c>
      <c r="O8" s="23"/>
      <c r="P8" s="23"/>
      <c r="Q8" s="23"/>
      <c r="R8" s="23"/>
      <c r="S8" s="23"/>
    </row>
    <row r="9" spans="1:19" ht="28.8" x14ac:dyDescent="0.55000000000000004">
      <c r="A9" s="91" t="s">
        <v>171</v>
      </c>
      <c r="B9" s="85">
        <v>3.8</v>
      </c>
      <c r="C9" s="86">
        <v>4.0999999999999996</v>
      </c>
      <c r="D9" s="87">
        <v>2.7</v>
      </c>
      <c r="F9" s="95" t="s">
        <v>172</v>
      </c>
      <c r="G9" s="97">
        <v>9.6999999999999993</v>
      </c>
    </row>
    <row r="10" spans="1:19" ht="23.4" x14ac:dyDescent="0.3">
      <c r="B10" s="88">
        <v>2.9</v>
      </c>
      <c r="C10" s="89">
        <v>2.1</v>
      </c>
      <c r="D10" s="90">
        <v>3.8</v>
      </c>
      <c r="G10" s="98">
        <v>7.8</v>
      </c>
    </row>
    <row r="15" spans="1:19" ht="23.4" x14ac:dyDescent="0.3">
      <c r="A15" s="99"/>
      <c r="B15" s="92" t="s">
        <v>6</v>
      </c>
      <c r="C15" s="93" t="s">
        <v>7</v>
      </c>
      <c r="D15" s="94" t="s">
        <v>46</v>
      </c>
    </row>
    <row r="16" spans="1:19" ht="23.4" x14ac:dyDescent="0.3">
      <c r="A16" s="46"/>
      <c r="B16" s="85" cm="1">
        <f t="array" ref="B16:D18">MINVERSE(B8:D10)</f>
        <v>0.53276705553464876</v>
      </c>
      <c r="C16" s="86">
        <v>-0.6542658996828129</v>
      </c>
      <c r="D16" s="87">
        <v>-0.19407558733401428</v>
      </c>
      <c r="G16" s="96" cm="1">
        <f t="array" ref="G16:G18">MMULT(_xlfn.ANCHORARRAY(B16),G8:G10)</f>
        <v>-2.4792215472286436</v>
      </c>
    </row>
    <row r="17" spans="1:7" ht="28.8" x14ac:dyDescent="0.55000000000000004">
      <c r="A17" s="46"/>
      <c r="B17" s="85">
        <v>-0.35535723885812598</v>
      </c>
      <c r="C17" s="86">
        <v>0.81984839524756747</v>
      </c>
      <c r="D17" s="87">
        <v>-0.14300306435137902</v>
      </c>
      <c r="F17" s="95" t="s">
        <v>173</v>
      </c>
      <c r="G17" s="97">
        <v>3.2479974194935757</v>
      </c>
    </row>
    <row r="18" spans="1:7" ht="23.4" x14ac:dyDescent="0.3">
      <c r="A18" s="100"/>
      <c r="B18" s="88">
        <v>-0.21020375248642548</v>
      </c>
      <c r="C18" s="89">
        <v>4.6234073436912014E-2</v>
      </c>
      <c r="D18" s="90">
        <v>0.49029622063329931</v>
      </c>
      <c r="G18" s="98">
        <v>2.1497231331648838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28535-E1BF-7249-8D95-06CE5B598C92}">
  <dimension ref="A1:I23"/>
  <sheetViews>
    <sheetView topLeftCell="A7" zoomScaleNormal="100" workbookViewId="0">
      <selection activeCell="H8" sqref="H8"/>
    </sheetView>
  </sheetViews>
  <sheetFormatPr defaultColWidth="11" defaultRowHeight="15.6" x14ac:dyDescent="0.3"/>
  <cols>
    <col min="8" max="8" width="23.796875" customWidth="1"/>
  </cols>
  <sheetData>
    <row r="1" spans="1:9" ht="33.6" x14ac:dyDescent="0.65">
      <c r="A1" s="105"/>
      <c r="B1" s="106">
        <v>7.6</v>
      </c>
      <c r="C1" s="106">
        <v>5.8</v>
      </c>
      <c r="D1" s="117">
        <v>4.7</v>
      </c>
      <c r="E1" s="101"/>
      <c r="F1" s="103"/>
      <c r="G1" s="101"/>
      <c r="H1" s="101"/>
      <c r="I1" s="101"/>
    </row>
    <row r="2" spans="1:9" ht="33.6" x14ac:dyDescent="0.65">
      <c r="A2" s="109" t="s">
        <v>52</v>
      </c>
      <c r="B2" s="110">
        <v>3.8</v>
      </c>
      <c r="C2" s="110">
        <v>4.0999999999999996</v>
      </c>
      <c r="D2" s="112">
        <v>2.7</v>
      </c>
      <c r="E2" s="101"/>
      <c r="F2" s="104"/>
      <c r="G2" s="101"/>
      <c r="H2" s="101"/>
      <c r="I2" s="101"/>
    </row>
    <row r="3" spans="1:9" ht="23.4" x14ac:dyDescent="0.3">
      <c r="A3" s="113"/>
      <c r="B3" s="114">
        <v>2.9</v>
      </c>
      <c r="C3" s="114">
        <v>2.1</v>
      </c>
      <c r="D3" s="116">
        <v>3.8</v>
      </c>
      <c r="E3" s="101"/>
      <c r="F3" s="101"/>
      <c r="G3" s="101"/>
      <c r="H3" s="101"/>
      <c r="I3" s="101"/>
    </row>
    <row r="4" spans="1:9" x14ac:dyDescent="0.3">
      <c r="A4" s="101"/>
      <c r="B4" s="101"/>
      <c r="C4" s="101"/>
      <c r="D4" s="101"/>
      <c r="E4" s="101"/>
      <c r="F4" s="101"/>
      <c r="G4" s="101"/>
      <c r="H4" s="101"/>
      <c r="I4" s="101"/>
    </row>
    <row r="5" spans="1:9" ht="33.6" x14ac:dyDescent="0.65">
      <c r="A5" s="120" t="s">
        <v>57</v>
      </c>
      <c r="B5" s="121">
        <f>MDETERM(B1:D3)</f>
        <v>18.600999999999996</v>
      </c>
      <c r="C5" s="101"/>
      <c r="D5" s="101"/>
      <c r="E5" s="101"/>
      <c r="F5" s="101"/>
      <c r="G5" s="101"/>
      <c r="H5" s="101"/>
      <c r="I5" s="101"/>
    </row>
    <row r="7" spans="1:9" ht="23.4" x14ac:dyDescent="0.3">
      <c r="A7" s="105"/>
      <c r="B7" s="118">
        <v>10.1</v>
      </c>
      <c r="C7" s="101"/>
      <c r="D7" s="101"/>
      <c r="E7" s="101"/>
      <c r="F7" s="101"/>
      <c r="G7" s="101"/>
      <c r="H7" s="101"/>
      <c r="I7" s="101"/>
    </row>
    <row r="8" spans="1:9" ht="33.6" x14ac:dyDescent="0.65">
      <c r="A8" s="109" t="s">
        <v>53</v>
      </c>
      <c r="B8" s="122">
        <v>9.6999999999999993</v>
      </c>
      <c r="C8" s="101"/>
      <c r="D8" s="101"/>
      <c r="E8" s="101"/>
      <c r="F8" s="101"/>
      <c r="G8" s="101"/>
      <c r="H8" s="101"/>
      <c r="I8" s="101"/>
    </row>
    <row r="9" spans="1:9" ht="23.4" x14ac:dyDescent="0.3">
      <c r="A9" s="113"/>
      <c r="B9" s="119">
        <v>7.8</v>
      </c>
      <c r="C9" s="101"/>
      <c r="D9" s="101"/>
      <c r="E9" s="101"/>
      <c r="F9" s="101"/>
      <c r="G9" s="101"/>
      <c r="H9" s="101"/>
      <c r="I9" s="101"/>
    </row>
    <row r="10" spans="1:9" x14ac:dyDescent="0.3">
      <c r="A10" s="101"/>
      <c r="B10" s="101"/>
      <c r="C10" s="101"/>
      <c r="D10" s="101"/>
      <c r="E10" s="101"/>
      <c r="F10" s="101"/>
      <c r="G10" s="101"/>
      <c r="H10" s="101"/>
      <c r="I10" s="101"/>
    </row>
    <row r="11" spans="1:9" ht="23.4" x14ac:dyDescent="0.3">
      <c r="A11" s="105"/>
      <c r="B11" s="106">
        <f t="shared" ref="B11:B13" si="0">B7</f>
        <v>10.1</v>
      </c>
      <c r="C11" s="106">
        <f t="shared" ref="C11:D13" si="1">C1</f>
        <v>5.8</v>
      </c>
      <c r="D11" s="106">
        <f t="shared" si="1"/>
        <v>4.7</v>
      </c>
      <c r="E11" s="107"/>
      <c r="F11" s="108"/>
      <c r="G11" s="101"/>
      <c r="H11" s="101"/>
      <c r="I11" s="101"/>
    </row>
    <row r="12" spans="1:9" ht="33.6" x14ac:dyDescent="0.65">
      <c r="A12" s="109" t="s">
        <v>49</v>
      </c>
      <c r="B12" s="110">
        <f t="shared" si="0"/>
        <v>9.6999999999999993</v>
      </c>
      <c r="C12" s="110">
        <f t="shared" si="1"/>
        <v>4.0999999999999996</v>
      </c>
      <c r="D12" s="110">
        <f t="shared" si="1"/>
        <v>2.7</v>
      </c>
      <c r="E12" s="111" t="s">
        <v>48</v>
      </c>
      <c r="F12" s="112">
        <f>MDETERM(B11:D13)</f>
        <v>-46.115999999999978</v>
      </c>
      <c r="G12" s="101"/>
      <c r="H12" s="120" t="s">
        <v>54</v>
      </c>
      <c r="I12" s="123">
        <f>F12/$B$5</f>
        <v>-2.4792215472286432</v>
      </c>
    </row>
    <row r="13" spans="1:9" ht="23.4" x14ac:dyDescent="0.3">
      <c r="A13" s="113"/>
      <c r="B13" s="114">
        <f t="shared" si="0"/>
        <v>7.8</v>
      </c>
      <c r="C13" s="114">
        <f t="shared" si="1"/>
        <v>2.1</v>
      </c>
      <c r="D13" s="114">
        <f t="shared" si="1"/>
        <v>3.8</v>
      </c>
      <c r="E13" s="115"/>
      <c r="F13" s="116"/>
      <c r="G13" s="101"/>
      <c r="H13" s="101"/>
      <c r="I13" s="101"/>
    </row>
    <row r="14" spans="1:9" ht="23.4" x14ac:dyDescent="0.3">
      <c r="A14" s="101"/>
      <c r="B14" s="101"/>
      <c r="C14" s="101"/>
      <c r="D14" s="101"/>
      <c r="E14" s="101"/>
      <c r="F14" s="102"/>
      <c r="G14" s="101"/>
      <c r="H14" s="101"/>
      <c r="I14" s="101"/>
    </row>
    <row r="15" spans="1:9" ht="23.4" x14ac:dyDescent="0.3">
      <c r="A15" s="124"/>
      <c r="B15" s="125">
        <f>B1</f>
        <v>7.6</v>
      </c>
      <c r="C15" s="125">
        <f t="shared" ref="C15:C17" si="2">B7</f>
        <v>10.1</v>
      </c>
      <c r="D15" s="125">
        <f>D1</f>
        <v>4.7</v>
      </c>
      <c r="E15" s="126"/>
      <c r="F15" s="127"/>
      <c r="G15" s="101"/>
      <c r="H15" s="101"/>
      <c r="I15" s="101"/>
    </row>
    <row r="16" spans="1:9" ht="33.6" x14ac:dyDescent="0.65">
      <c r="A16" s="128" t="s">
        <v>50</v>
      </c>
      <c r="B16" s="129">
        <f>B2</f>
        <v>3.8</v>
      </c>
      <c r="C16" s="129">
        <f t="shared" si="2"/>
        <v>9.6999999999999993</v>
      </c>
      <c r="D16" s="129">
        <f>D2</f>
        <v>2.7</v>
      </c>
      <c r="E16" s="130" t="s">
        <v>48</v>
      </c>
      <c r="F16" s="131">
        <f>MDETERM(B15:D17)</f>
        <v>60.415999999999983</v>
      </c>
      <c r="G16" s="101"/>
      <c r="H16" s="120" t="s">
        <v>55</v>
      </c>
      <c r="I16" s="123">
        <f>F16/$B$5</f>
        <v>3.2479974194935757</v>
      </c>
    </row>
    <row r="17" spans="1:9" ht="23.4" x14ac:dyDescent="0.3">
      <c r="A17" s="132"/>
      <c r="B17" s="133">
        <f>B3</f>
        <v>2.9</v>
      </c>
      <c r="C17" s="133">
        <f t="shared" si="2"/>
        <v>7.8</v>
      </c>
      <c r="D17" s="133">
        <f>D3</f>
        <v>3.8</v>
      </c>
      <c r="E17" s="134"/>
      <c r="F17" s="135"/>
      <c r="G17" s="101"/>
      <c r="H17" s="101"/>
      <c r="I17" s="101"/>
    </row>
    <row r="18" spans="1:9" ht="23.4" x14ac:dyDescent="0.3">
      <c r="A18" s="101"/>
      <c r="B18" s="101"/>
      <c r="C18" s="101"/>
      <c r="D18" s="101"/>
      <c r="E18" s="101"/>
      <c r="F18" s="102"/>
      <c r="G18" s="101"/>
      <c r="H18" s="101"/>
      <c r="I18" s="101"/>
    </row>
    <row r="19" spans="1:9" ht="23.4" x14ac:dyDescent="0.3">
      <c r="A19" s="105"/>
      <c r="B19" s="106">
        <f t="shared" ref="B19:C21" si="3">B1</f>
        <v>7.6</v>
      </c>
      <c r="C19" s="106">
        <f t="shared" si="3"/>
        <v>5.8</v>
      </c>
      <c r="D19" s="106">
        <f t="shared" ref="D19:D21" si="4">B7</f>
        <v>10.1</v>
      </c>
      <c r="E19" s="107"/>
      <c r="F19" s="117"/>
      <c r="G19" s="101"/>
      <c r="H19" s="101"/>
      <c r="I19" s="101"/>
    </row>
    <row r="20" spans="1:9" ht="33.6" x14ac:dyDescent="0.65">
      <c r="A20" s="109" t="s">
        <v>51</v>
      </c>
      <c r="B20" s="110">
        <f t="shared" si="3"/>
        <v>3.8</v>
      </c>
      <c r="C20" s="110">
        <f t="shared" si="3"/>
        <v>4.0999999999999996</v>
      </c>
      <c r="D20" s="110">
        <f t="shared" si="4"/>
        <v>9.6999999999999993</v>
      </c>
      <c r="E20" s="111" t="s">
        <v>48</v>
      </c>
      <c r="F20" s="112">
        <f>MDETERM(B19:D21)</f>
        <v>39.986999999999988</v>
      </c>
      <c r="G20" s="101"/>
      <c r="H20" s="120" t="s">
        <v>56</v>
      </c>
      <c r="I20" s="123">
        <f>F20/$B$5</f>
        <v>2.1497231331648834</v>
      </c>
    </row>
    <row r="21" spans="1:9" ht="23.4" x14ac:dyDescent="0.3">
      <c r="A21" s="113"/>
      <c r="B21" s="114">
        <f t="shared" si="3"/>
        <v>2.9</v>
      </c>
      <c r="C21" s="114">
        <f t="shared" si="3"/>
        <v>2.1</v>
      </c>
      <c r="D21" s="114">
        <f t="shared" si="4"/>
        <v>7.8</v>
      </c>
      <c r="E21" s="115"/>
      <c r="F21" s="136"/>
      <c r="G21" s="101"/>
      <c r="H21" s="101"/>
      <c r="I21" s="101"/>
    </row>
    <row r="22" spans="1:9" x14ac:dyDescent="0.3">
      <c r="A22" s="101"/>
      <c r="B22" s="101"/>
      <c r="C22" s="101"/>
      <c r="D22" s="101"/>
      <c r="E22" s="101"/>
      <c r="F22" s="101"/>
      <c r="G22" s="101"/>
      <c r="H22" s="101"/>
      <c r="I22" s="101"/>
    </row>
    <row r="23" spans="1:9" x14ac:dyDescent="0.3">
      <c r="A23" s="101"/>
      <c r="B23" s="101"/>
      <c r="C23" s="101"/>
      <c r="D23" s="101"/>
      <c r="E23" s="101"/>
      <c r="F23" s="101"/>
      <c r="G23" s="101"/>
      <c r="H23" s="101"/>
      <c r="I23" s="101"/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CFF4D-C0A1-3645-BC59-C79E404EA9C4}">
  <dimension ref="A1:G29"/>
  <sheetViews>
    <sheetView showGridLines="0" topLeftCell="A13" workbookViewId="0"/>
  </sheetViews>
  <sheetFormatPr defaultColWidth="11.19921875" defaultRowHeight="15.6" outlineLevelRow="1" x14ac:dyDescent="0.3"/>
  <cols>
    <col min="1" max="1" width="2.296875" customWidth="1"/>
    <col min="2" max="2" width="7.296875" bestFit="1" customWidth="1"/>
    <col min="3" max="3" width="6.19921875" bestFit="1" customWidth="1"/>
    <col min="4" max="4" width="18.296875" bestFit="1" customWidth="1"/>
    <col min="5" max="5" width="23.5" bestFit="1" customWidth="1"/>
    <col min="6" max="6" width="14.796875" bestFit="1" customWidth="1"/>
    <col min="7" max="7" width="7.5" bestFit="1" customWidth="1"/>
  </cols>
  <sheetData>
    <row r="1" spans="1:5" x14ac:dyDescent="0.3">
      <c r="A1" s="137" t="s">
        <v>175</v>
      </c>
    </row>
    <row r="2" spans="1:5" x14ac:dyDescent="0.3">
      <c r="A2" s="137" t="s">
        <v>176</v>
      </c>
    </row>
    <row r="3" spans="1:5" x14ac:dyDescent="0.3">
      <c r="A3" s="137" t="s">
        <v>177</v>
      </c>
    </row>
    <row r="4" spans="1:5" x14ac:dyDescent="0.3">
      <c r="A4" s="137" t="s">
        <v>178</v>
      </c>
    </row>
    <row r="5" spans="1:5" x14ac:dyDescent="0.3">
      <c r="A5" s="137" t="s">
        <v>179</v>
      </c>
    </row>
    <row r="6" spans="1:5" hidden="1" outlineLevel="1" x14ac:dyDescent="0.3">
      <c r="A6" s="137"/>
      <c r="B6" t="s">
        <v>180</v>
      </c>
    </row>
    <row r="7" spans="1:5" hidden="1" outlineLevel="1" x14ac:dyDescent="0.3">
      <c r="A7" s="137"/>
      <c r="B7" t="s">
        <v>181</v>
      </c>
    </row>
    <row r="8" spans="1:5" hidden="1" outlineLevel="1" x14ac:dyDescent="0.3">
      <c r="A8" s="137"/>
      <c r="B8" t="s">
        <v>182</v>
      </c>
    </row>
    <row r="9" spans="1:5" collapsed="1" x14ac:dyDescent="0.3">
      <c r="A9" s="137" t="s">
        <v>183</v>
      </c>
    </row>
    <row r="10" spans="1:5" hidden="1" outlineLevel="1" x14ac:dyDescent="0.3">
      <c r="B10" t="s">
        <v>184</v>
      </c>
    </row>
    <row r="11" spans="1:5" hidden="1" outlineLevel="1" x14ac:dyDescent="0.3">
      <c r="B11" t="s">
        <v>185</v>
      </c>
    </row>
    <row r="12" spans="1:5" hidden="1" outlineLevel="1" x14ac:dyDescent="0.3">
      <c r="B12" t="s">
        <v>186</v>
      </c>
    </row>
    <row r="13" spans="1:5" collapsed="1" x14ac:dyDescent="0.3"/>
    <row r="14" spans="1:5" ht="16.2" thickBot="1" x14ac:dyDescent="0.35">
      <c r="A14" t="s">
        <v>187</v>
      </c>
    </row>
    <row r="15" spans="1:5" ht="16.2" thickBot="1" x14ac:dyDescent="0.35">
      <c r="B15" s="139" t="s">
        <v>188</v>
      </c>
      <c r="C15" s="139" t="s">
        <v>189</v>
      </c>
      <c r="D15" s="139" t="s">
        <v>190</v>
      </c>
      <c r="E15" s="139" t="s">
        <v>191</v>
      </c>
    </row>
    <row r="16" spans="1:5" ht="16.2" thickBot="1" x14ac:dyDescent="0.35">
      <c r="B16" s="138" t="s">
        <v>199</v>
      </c>
      <c r="C16" s="138" t="s">
        <v>174</v>
      </c>
      <c r="D16" s="141">
        <v>0.10033467208545054</v>
      </c>
      <c r="E16" s="141">
        <v>8.8934001163387677E-8</v>
      </c>
    </row>
    <row r="19" spans="1:7" ht="16.2" thickBot="1" x14ac:dyDescent="0.35">
      <c r="A19" t="s">
        <v>192</v>
      </c>
    </row>
    <row r="20" spans="1:7" ht="16.2" thickBot="1" x14ac:dyDescent="0.35">
      <c r="B20" s="139" t="s">
        <v>188</v>
      </c>
      <c r="C20" s="139" t="s">
        <v>189</v>
      </c>
      <c r="D20" s="139" t="s">
        <v>190</v>
      </c>
      <c r="E20" s="139" t="s">
        <v>191</v>
      </c>
      <c r="F20" s="139" t="s">
        <v>193</v>
      </c>
    </row>
    <row r="21" spans="1:7" x14ac:dyDescent="0.3">
      <c r="B21" s="140" t="s">
        <v>200</v>
      </c>
      <c r="C21" s="140" t="s">
        <v>0</v>
      </c>
      <c r="D21" s="142">
        <v>0</v>
      </c>
      <c r="E21" s="142">
        <v>0.80658777854366326</v>
      </c>
      <c r="F21" s="140" t="s">
        <v>201</v>
      </c>
    </row>
    <row r="22" spans="1:7" ht="16.2" thickBot="1" x14ac:dyDescent="0.35">
      <c r="B22" s="138" t="s">
        <v>202</v>
      </c>
      <c r="C22" s="138" t="s">
        <v>14</v>
      </c>
      <c r="D22" s="143">
        <v>0</v>
      </c>
      <c r="E22" s="143">
        <v>0.59111434832944765</v>
      </c>
      <c r="F22" s="138" t="s">
        <v>201</v>
      </c>
    </row>
    <row r="25" spans="1:7" ht="16.2" thickBot="1" x14ac:dyDescent="0.35">
      <c r="A25" t="s">
        <v>194</v>
      </c>
    </row>
    <row r="26" spans="1:7" ht="16.2" thickBot="1" x14ac:dyDescent="0.35">
      <c r="B26" s="139" t="s">
        <v>188</v>
      </c>
      <c r="C26" s="139" t="s">
        <v>189</v>
      </c>
      <c r="D26" s="139" t="s">
        <v>195</v>
      </c>
      <c r="E26" s="139" t="s">
        <v>196</v>
      </c>
      <c r="F26" s="139" t="s">
        <v>197</v>
      </c>
      <c r="G26" s="139" t="s">
        <v>198</v>
      </c>
    </row>
    <row r="27" spans="1:7" x14ac:dyDescent="0.3">
      <c r="B27" s="140" t="s">
        <v>199</v>
      </c>
      <c r="C27" s="140" t="s">
        <v>174</v>
      </c>
      <c r="D27" s="145">
        <v>8.8934001163387677E-8</v>
      </c>
      <c r="E27" s="140" t="s">
        <v>203</v>
      </c>
      <c r="F27" s="140" t="s">
        <v>204</v>
      </c>
      <c r="G27" s="140">
        <v>0</v>
      </c>
    </row>
    <row r="28" spans="1:7" x14ac:dyDescent="0.3">
      <c r="B28" s="140" t="s">
        <v>205</v>
      </c>
      <c r="C28" s="140" t="s">
        <v>174</v>
      </c>
      <c r="D28" s="145">
        <v>1.0000000172969492</v>
      </c>
      <c r="E28" s="140" t="s">
        <v>206</v>
      </c>
      <c r="F28" s="140" t="s">
        <v>204</v>
      </c>
      <c r="G28" s="140">
        <v>0</v>
      </c>
    </row>
    <row r="29" spans="1:7" ht="16.2" thickBot="1" x14ac:dyDescent="0.35">
      <c r="B29" s="138" t="s">
        <v>199</v>
      </c>
      <c r="C29" s="138" t="s">
        <v>174</v>
      </c>
      <c r="D29" s="141">
        <v>8.8934001163387677E-8</v>
      </c>
      <c r="E29" s="138" t="s">
        <v>207</v>
      </c>
      <c r="F29" s="138" t="s">
        <v>204</v>
      </c>
      <c r="G29" s="138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EEC93-ED40-4045-8C67-910CD52173E0}">
  <dimension ref="A1:E17"/>
  <sheetViews>
    <sheetView showGridLines="0" workbookViewId="0">
      <selection sqref="A1:A3"/>
    </sheetView>
  </sheetViews>
  <sheetFormatPr defaultColWidth="11.19921875" defaultRowHeight="15.6" x14ac:dyDescent="0.3"/>
  <cols>
    <col min="1" max="1" width="2.296875" customWidth="1"/>
    <col min="2" max="2" width="7.296875" bestFit="1" customWidth="1"/>
    <col min="3" max="3" width="6.19921875" bestFit="1" customWidth="1"/>
    <col min="4" max="4" width="14.69921875" bestFit="1" customWidth="1"/>
    <col min="5" max="5" width="11.5" bestFit="1" customWidth="1"/>
  </cols>
  <sheetData>
    <row r="1" spans="1:5" x14ac:dyDescent="0.3">
      <c r="A1" s="137" t="s">
        <v>208</v>
      </c>
    </row>
    <row r="2" spans="1:5" x14ac:dyDescent="0.3">
      <c r="A2" s="137" t="s">
        <v>176</v>
      </c>
    </row>
    <row r="3" spans="1:5" x14ac:dyDescent="0.3">
      <c r="A3" s="137" t="s">
        <v>177</v>
      </c>
    </row>
    <row r="6" spans="1:5" ht="16.2" thickBot="1" x14ac:dyDescent="0.35">
      <c r="A6" t="s">
        <v>192</v>
      </c>
    </row>
    <row r="7" spans="1:5" x14ac:dyDescent="0.3">
      <c r="B7" s="146"/>
      <c r="C7" s="146"/>
      <c r="D7" s="146" t="s">
        <v>209</v>
      </c>
      <c r="E7" s="146" t="s">
        <v>211</v>
      </c>
    </row>
    <row r="8" spans="1:5" ht="16.2" thickBot="1" x14ac:dyDescent="0.35">
      <c r="B8" s="147" t="s">
        <v>188</v>
      </c>
      <c r="C8" s="147" t="s">
        <v>189</v>
      </c>
      <c r="D8" s="147" t="s">
        <v>210</v>
      </c>
      <c r="E8" s="147" t="s">
        <v>212</v>
      </c>
    </row>
    <row r="9" spans="1:5" x14ac:dyDescent="0.3">
      <c r="B9" s="140" t="s">
        <v>200</v>
      </c>
      <c r="C9" s="140" t="s">
        <v>0</v>
      </c>
      <c r="D9" s="140">
        <v>0.80658777854366326</v>
      </c>
      <c r="E9" s="140">
        <v>0</v>
      </c>
    </row>
    <row r="10" spans="1:5" ht="16.2" thickBot="1" x14ac:dyDescent="0.35">
      <c r="B10" s="138" t="s">
        <v>202</v>
      </c>
      <c r="C10" s="138" t="s">
        <v>14</v>
      </c>
      <c r="D10" s="138">
        <v>0.59111434832944765</v>
      </c>
      <c r="E10" s="138">
        <v>0</v>
      </c>
    </row>
    <row r="12" spans="1:5" ht="16.2" thickBot="1" x14ac:dyDescent="0.35">
      <c r="A12" t="s">
        <v>194</v>
      </c>
    </row>
    <row r="13" spans="1:5" x14ac:dyDescent="0.3">
      <c r="B13" s="146"/>
      <c r="C13" s="146"/>
      <c r="D13" s="146" t="s">
        <v>209</v>
      </c>
      <c r="E13" s="146" t="s">
        <v>213</v>
      </c>
    </row>
    <row r="14" spans="1:5" ht="16.2" thickBot="1" x14ac:dyDescent="0.35">
      <c r="B14" s="147" t="s">
        <v>188</v>
      </c>
      <c r="C14" s="147" t="s">
        <v>189</v>
      </c>
      <c r="D14" s="147" t="s">
        <v>210</v>
      </c>
      <c r="E14" s="147" t="s">
        <v>214</v>
      </c>
    </row>
    <row r="15" spans="1:5" x14ac:dyDescent="0.3">
      <c r="B15" s="140" t="s">
        <v>199</v>
      </c>
      <c r="C15" s="140" t="s">
        <v>174</v>
      </c>
      <c r="D15" s="140">
        <v>8.8934001163387677E-8</v>
      </c>
      <c r="E15" s="140">
        <v>0</v>
      </c>
    </row>
    <row r="16" spans="1:5" x14ac:dyDescent="0.3">
      <c r="B16" s="140" t="s">
        <v>205</v>
      </c>
      <c r="C16" s="140" t="s">
        <v>174</v>
      </c>
      <c r="D16" s="140">
        <v>1.0000000172969492</v>
      </c>
      <c r="E16" s="140">
        <v>0</v>
      </c>
    </row>
    <row r="17" spans="2:5" ht="16.2" thickBot="1" x14ac:dyDescent="0.35">
      <c r="B17" s="138" t="s">
        <v>199</v>
      </c>
      <c r="C17" s="138" t="s">
        <v>174</v>
      </c>
      <c r="D17" s="138">
        <v>8.8934001163387677E-8</v>
      </c>
      <c r="E17" s="138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78167-865F-9047-ADA3-504F3B8AB9D9}">
  <dimension ref="A1:J14"/>
  <sheetViews>
    <sheetView showGridLines="0" workbookViewId="0">
      <selection sqref="A1:A3"/>
    </sheetView>
  </sheetViews>
  <sheetFormatPr defaultColWidth="11.19921875" defaultRowHeight="15.6" x14ac:dyDescent="0.3"/>
  <cols>
    <col min="1" max="1" width="2.296875" customWidth="1"/>
    <col min="2" max="2" width="7.296875" bestFit="1" customWidth="1"/>
    <col min="3" max="3" width="12.19921875" bestFit="1" customWidth="1"/>
    <col min="4" max="4" width="11.19921875" bestFit="1" customWidth="1"/>
    <col min="5" max="5" width="2.296875" customWidth="1"/>
    <col min="6" max="6" width="8.296875" bestFit="1" customWidth="1"/>
    <col min="7" max="7" width="16.796875" bestFit="1" customWidth="1"/>
    <col min="8" max="8" width="2.296875" customWidth="1"/>
    <col min="9" max="9" width="8.69921875" bestFit="1" customWidth="1"/>
    <col min="10" max="10" width="16.796875" bestFit="1" customWidth="1"/>
  </cols>
  <sheetData>
    <row r="1" spans="1:10" x14ac:dyDescent="0.3">
      <c r="A1" s="137" t="s">
        <v>215</v>
      </c>
    </row>
    <row r="2" spans="1:10" x14ac:dyDescent="0.3">
      <c r="A2" s="137" t="s">
        <v>176</v>
      </c>
    </row>
    <row r="3" spans="1:10" x14ac:dyDescent="0.3">
      <c r="A3" s="137" t="s">
        <v>177</v>
      </c>
    </row>
    <row r="5" spans="1:10" ht="16.2" thickBot="1" x14ac:dyDescent="0.35"/>
    <row r="6" spans="1:10" x14ac:dyDescent="0.3">
      <c r="B6" s="146"/>
      <c r="C6" s="146" t="s">
        <v>216</v>
      </c>
      <c r="D6" s="146"/>
    </row>
    <row r="7" spans="1:10" ht="16.2" thickBot="1" x14ac:dyDescent="0.35">
      <c r="B7" s="147" t="s">
        <v>188</v>
      </c>
      <c r="C7" s="147" t="s">
        <v>189</v>
      </c>
      <c r="D7" s="147" t="s">
        <v>210</v>
      </c>
    </row>
    <row r="8" spans="1:10" ht="16.2" thickBot="1" x14ac:dyDescent="0.35">
      <c r="B8" s="138" t="s">
        <v>199</v>
      </c>
      <c r="C8" s="138" t="s">
        <v>174</v>
      </c>
      <c r="D8" s="141">
        <v>8.8934001163387677E-8</v>
      </c>
    </row>
    <row r="10" spans="1:10" ht="16.2" thickBot="1" x14ac:dyDescent="0.35"/>
    <row r="11" spans="1:10" x14ac:dyDescent="0.3">
      <c r="B11" s="146"/>
      <c r="C11" s="146" t="s">
        <v>217</v>
      </c>
      <c r="D11" s="146"/>
      <c r="F11" s="146" t="s">
        <v>218</v>
      </c>
      <c r="G11" s="146" t="s">
        <v>216</v>
      </c>
      <c r="I11" s="146" t="s">
        <v>220</v>
      </c>
      <c r="J11" s="146" t="s">
        <v>216</v>
      </c>
    </row>
    <row r="12" spans="1:10" ht="16.2" thickBot="1" x14ac:dyDescent="0.35">
      <c r="B12" s="147" t="s">
        <v>188</v>
      </c>
      <c r="C12" s="147" t="s">
        <v>189</v>
      </c>
      <c r="D12" s="147" t="s">
        <v>210</v>
      </c>
      <c r="F12" s="147" t="s">
        <v>219</v>
      </c>
      <c r="G12" s="147" t="s">
        <v>98</v>
      </c>
      <c r="I12" s="147" t="s">
        <v>219</v>
      </c>
      <c r="J12" s="147" t="s">
        <v>98</v>
      </c>
    </row>
    <row r="13" spans="1:10" x14ac:dyDescent="0.3">
      <c r="B13" s="140" t="s">
        <v>200</v>
      </c>
      <c r="C13" s="140" t="s">
        <v>0</v>
      </c>
      <c r="D13" s="142">
        <v>0.80658777854366326</v>
      </c>
      <c r="F13" s="142">
        <v>0</v>
      </c>
      <c r="G13" s="145">
        <v>85</v>
      </c>
      <c r="I13" s="142">
        <v>250</v>
      </c>
      <c r="J13" s="145">
        <v>18835</v>
      </c>
    </row>
    <row r="14" spans="1:10" ht="16.2" thickBot="1" x14ac:dyDescent="0.35">
      <c r="B14" s="138" t="s">
        <v>202</v>
      </c>
      <c r="C14" s="138" t="s">
        <v>14</v>
      </c>
      <c r="D14" s="143">
        <v>0.59111434832944765</v>
      </c>
      <c r="F14" s="143">
        <v>0</v>
      </c>
      <c r="G14" s="141">
        <v>110</v>
      </c>
      <c r="I14" s="143">
        <v>398.5</v>
      </c>
      <c r="J14" s="141">
        <v>20035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7D9DA-45DB-C942-82BA-E5C7BD60BB60}">
  <dimension ref="A1:P67"/>
  <sheetViews>
    <sheetView tabSelected="1" topLeftCell="A11" zoomScale="80" zoomScaleNormal="80" workbookViewId="0">
      <selection activeCell="O12" sqref="O12"/>
    </sheetView>
  </sheetViews>
  <sheetFormatPr defaultColWidth="11" defaultRowHeight="15.6" x14ac:dyDescent="0.3"/>
  <cols>
    <col min="2" max="2" width="8.796875" style="27" bestFit="1" customWidth="1"/>
  </cols>
  <sheetData>
    <row r="1" spans="1:16" x14ac:dyDescent="0.3">
      <c r="C1" s="24"/>
    </row>
    <row r="2" spans="1:16" x14ac:dyDescent="0.3">
      <c r="C2" s="24"/>
    </row>
    <row r="3" spans="1:16" x14ac:dyDescent="0.3">
      <c r="C3" s="24"/>
    </row>
    <row r="4" spans="1:16" x14ac:dyDescent="0.3">
      <c r="C4" s="24"/>
    </row>
    <row r="5" spans="1:16" x14ac:dyDescent="0.3">
      <c r="C5" s="25"/>
    </row>
    <row r="6" spans="1:16" x14ac:dyDescent="0.3">
      <c r="C6" s="24"/>
    </row>
    <row r="10" spans="1:16" x14ac:dyDescent="0.3">
      <c r="A10" s="24" t="s">
        <v>58</v>
      </c>
      <c r="B10" s="26"/>
      <c r="D10" s="24" t="s">
        <v>196</v>
      </c>
      <c r="E10" s="24" t="s">
        <v>241</v>
      </c>
    </row>
    <row r="11" spans="1:16" x14ac:dyDescent="0.3">
      <c r="A11" s="24" t="s">
        <v>59</v>
      </c>
      <c r="B11" s="231">
        <v>6.7776395278265039E-2</v>
      </c>
      <c r="D11" s="11">
        <f>TAN(x*y + 0.1)-x^2</f>
        <v>9.5741032328534925E-2</v>
      </c>
      <c r="E11" s="26">
        <f>D11^2+D12^2</f>
        <v>1.0000001672837187</v>
      </c>
    </row>
    <row r="12" spans="1:16" x14ac:dyDescent="0.3">
      <c r="A12" s="24" t="s">
        <v>60</v>
      </c>
      <c r="B12" s="231">
        <v>0</v>
      </c>
      <c r="D12" s="11">
        <f>x^2+y^2-1</f>
        <v>-0.99540636024308438</v>
      </c>
      <c r="E12" s="27">
        <v>0</v>
      </c>
    </row>
    <row r="13" spans="1:16" x14ac:dyDescent="0.3">
      <c r="A13" s="24"/>
      <c r="B13" s="26"/>
    </row>
    <row r="15" spans="1:16" x14ac:dyDescent="0.3">
      <c r="A15" s="24" t="s">
        <v>242</v>
      </c>
      <c r="B15" s="27" t="s">
        <v>243</v>
      </c>
    </row>
    <row r="16" spans="1:16" x14ac:dyDescent="0.3">
      <c r="B16" s="231">
        <v>0</v>
      </c>
      <c r="C16" s="11">
        <f>B16+0.5</f>
        <v>0.5</v>
      </c>
      <c r="D16" s="11">
        <f t="shared" ref="D16:P16" si="0">C16+0.5</f>
        <v>1</v>
      </c>
      <c r="E16" s="11">
        <f t="shared" si="0"/>
        <v>1.5</v>
      </c>
      <c r="F16" s="11">
        <f t="shared" si="0"/>
        <v>2</v>
      </c>
      <c r="G16" s="11">
        <f t="shared" si="0"/>
        <v>2.5</v>
      </c>
      <c r="H16" s="11">
        <f t="shared" si="0"/>
        <v>3</v>
      </c>
      <c r="I16" s="11">
        <f t="shared" si="0"/>
        <v>3.5</v>
      </c>
      <c r="J16" s="11">
        <f t="shared" si="0"/>
        <v>4</v>
      </c>
      <c r="K16" s="11">
        <f t="shared" si="0"/>
        <v>4.5</v>
      </c>
      <c r="L16" s="11">
        <f t="shared" si="0"/>
        <v>5</v>
      </c>
      <c r="M16" s="11">
        <f t="shared" si="0"/>
        <v>5.5</v>
      </c>
      <c r="N16" s="11">
        <f t="shared" si="0"/>
        <v>6</v>
      </c>
      <c r="O16" s="11">
        <f t="shared" si="0"/>
        <v>6.5</v>
      </c>
      <c r="P16" s="11">
        <f t="shared" si="0"/>
        <v>7</v>
      </c>
    </row>
    <row r="17" spans="1:16" x14ac:dyDescent="0.3">
      <c r="A17">
        <v>6.7776395278265039E-2</v>
      </c>
      <c r="B17" s="27">
        <f>TAN($A17*B$16 +0.1) + B$16^2</f>
        <v>0.10033467208545055</v>
      </c>
      <c r="C17" s="27">
        <f t="shared" ref="C17:P32" si="1">TAN($A17*C$16 +0.1) + C$16^2</f>
        <v>0.38469400492724731</v>
      </c>
      <c r="D17" s="27">
        <f t="shared" si="1"/>
        <v>1.169368566216922</v>
      </c>
      <c r="E17" s="27">
        <f t="shared" si="1"/>
        <v>2.4544436153728788</v>
      </c>
      <c r="F17" s="27">
        <f t="shared" si="1"/>
        <v>4.2400082596976834</v>
      </c>
      <c r="G17" s="27">
        <f t="shared" si="1"/>
        <v>6.526156399557359</v>
      </c>
      <c r="H17" s="27">
        <f t="shared" si="1"/>
        <v>9.3129877755961132</v>
      </c>
      <c r="I17" s="27">
        <f t="shared" si="1"/>
        <v>12.600609143922521</v>
      </c>
      <c r="J17" s="27">
        <f t="shared" si="1"/>
        <v>16.389135610157258</v>
      </c>
      <c r="K17" s="27">
        <f t="shared" si="1"/>
        <v>20.678692159626525</v>
      </c>
      <c r="L17" s="27">
        <f t="shared" si="1"/>
        <v>25.469415429225656</v>
      </c>
      <c r="M17" s="27">
        <f t="shared" si="1"/>
        <v>30.761455777112477</v>
      </c>
      <c r="N17" s="27">
        <f t="shared" si="1"/>
        <v>36.554979720164901</v>
      </c>
      <c r="O17" s="27">
        <f t="shared" si="1"/>
        <v>42.850172827069379</v>
      </c>
      <c r="P17" s="27">
        <f t="shared" si="1"/>
        <v>49.647243178397162</v>
      </c>
    </row>
    <row r="18" spans="1:16" x14ac:dyDescent="0.3">
      <c r="A18">
        <f>A17+0.001</f>
        <v>6.877639527826504E-2</v>
      </c>
      <c r="B18" s="27">
        <f t="shared" ref="B18:P44" si="2">TAN($A18*B$16 +0.1) + B$16^2</f>
        <v>0.10033467208545055</v>
      </c>
      <c r="C18" s="27">
        <f t="shared" si="1"/>
        <v>0.38520311049388828</v>
      </c>
      <c r="D18" s="27">
        <f t="shared" si="1"/>
        <v>1.1703974265276935</v>
      </c>
      <c r="E18" s="27">
        <f t="shared" si="1"/>
        <v>2.4560067917051924</v>
      </c>
      <c r="F18" s="27">
        <f t="shared" si="1"/>
        <v>4.2421244862724805</v>
      </c>
      <c r="G18" s="27">
        <f t="shared" si="1"/>
        <v>6.5288489199511641</v>
      </c>
      <c r="H18" s="27">
        <f t="shared" si="1"/>
        <v>9.3162847652825089</v>
      </c>
      <c r="I18" s="27">
        <f t="shared" si="1"/>
        <v>12.604544232565331</v>
      </c>
      <c r="J18" s="27">
        <f t="shared" si="1"/>
        <v>16.393748521043413</v>
      </c>
      <c r="K18" s="27">
        <f t="shared" si="1"/>
        <v>20.68402948832766</v>
      </c>
      <c r="L18" s="27">
        <f t="shared" si="1"/>
        <v>25.475531589519768</v>
      </c>
      <c r="M18" s="27">
        <f t="shared" si="1"/>
        <v>30.768414149791372</v>
      </c>
      <c r="N18" s="27">
        <f t="shared" si="1"/>
        <v>36.562854050156588</v>
      </c>
      <c r="O18" s="27">
        <f t="shared" si="1"/>
        <v>42.859048927081339</v>
      </c>
      <c r="P18" s="27">
        <f t="shared" si="1"/>
        <v>49.657221014095519</v>
      </c>
    </row>
    <row r="19" spans="1:16" x14ac:dyDescent="0.3">
      <c r="A19">
        <f t="shared" ref="A19:A22" si="3">A18+0.001</f>
        <v>6.9776395278265041E-2</v>
      </c>
      <c r="B19" s="27">
        <f t="shared" si="2"/>
        <v>0.10033467208545055</v>
      </c>
      <c r="C19" s="27">
        <f t="shared" si="1"/>
        <v>0.3857122848978447</v>
      </c>
      <c r="D19" s="27">
        <f t="shared" si="1"/>
        <v>1.1714266375286371</v>
      </c>
      <c r="E19" s="27">
        <f t="shared" si="1"/>
        <v>2.4575709344116738</v>
      </c>
      <c r="F19" s="27">
        <f t="shared" si="1"/>
        <v>4.2442427634040802</v>
      </c>
      <c r="G19" s="27">
        <f t="shared" si="1"/>
        <v>6.5315451970036653</v>
      </c>
      <c r="H19" s="27">
        <f t="shared" si="1"/>
        <v>9.3195880176557271</v>
      </c>
      <c r="I19" s="27">
        <f t="shared" si="1"/>
        <v>12.608489099522908</v>
      </c>
      <c r="J19" s="27">
        <f t="shared" si="1"/>
        <v>16.398375985543758</v>
      </c>
      <c r="K19" s="27">
        <f t="shared" si="1"/>
        <v>20.689387706993081</v>
      </c>
      <c r="L19" s="27">
        <f t="shared" si="1"/>
        <v>25.481676903648939</v>
      </c>
      <c r="M19" s="27">
        <f t="shared" si="1"/>
        <v>30.775412316843759</v>
      </c>
      <c r="N19" s="27">
        <f t="shared" si="1"/>
        <v>36.570781746194776</v>
      </c>
      <c r="O19" s="27">
        <f t="shared" si="1"/>
        <v>42.867995585142936</v>
      </c>
      <c r="P19" s="27">
        <f t="shared" si="1"/>
        <v>49.667291082627997</v>
      </c>
    </row>
    <row r="20" spans="1:16" x14ac:dyDescent="0.3">
      <c r="A20">
        <f t="shared" si="3"/>
        <v>7.0776395278265042E-2</v>
      </c>
      <c r="B20" s="27">
        <f t="shared" si="2"/>
        <v>0.10033467208545055</v>
      </c>
      <c r="C20" s="27">
        <f t="shared" si="1"/>
        <v>0.3862215284077179</v>
      </c>
      <c r="D20" s="27">
        <f t="shared" si="1"/>
        <v>1.172456201458562</v>
      </c>
      <c r="E20" s="27">
        <f t="shared" si="1"/>
        <v>2.4591360514339344</v>
      </c>
      <c r="F20" s="27">
        <f t="shared" si="1"/>
        <v>4.2463631110452962</v>
      </c>
      <c r="G20" s="27">
        <f t="shared" si="1"/>
        <v>6.5342452723568325</v>
      </c>
      <c r="H20" s="27">
        <f t="shared" si="1"/>
        <v>9.3228976102059651</v>
      </c>
      <c r="I20" s="27">
        <f t="shared" si="1"/>
        <v>12.612443878300059</v>
      </c>
      <c r="J20" s="27">
        <f t="shared" si="1"/>
        <v>16.403018221426986</v>
      </c>
      <c r="K20" s="27">
        <f t="shared" si="1"/>
        <v>20.694767156799688</v>
      </c>
      <c r="L20" s="27">
        <f t="shared" si="1"/>
        <v>25.487851890046429</v>
      </c>
      <c r="M20" s="27">
        <f t="shared" si="1"/>
        <v>30.782451047679892</v>
      </c>
      <c r="N20" s="27">
        <f t="shared" si="1"/>
        <v>36.578763929298397</v>
      </c>
      <c r="O20" s="27">
        <f t="shared" si="1"/>
        <v>42.877014411054468</v>
      </c>
      <c r="P20" s="27">
        <f t="shared" si="1"/>
        <v>49.677455669540244</v>
      </c>
    </row>
    <row r="21" spans="1:16" x14ac:dyDescent="0.3">
      <c r="A21">
        <f t="shared" si="3"/>
        <v>7.1776395278265043E-2</v>
      </c>
      <c r="B21" s="27">
        <f t="shared" si="2"/>
        <v>0.10033467208545055</v>
      </c>
      <c r="C21" s="27">
        <f t="shared" si="1"/>
        <v>0.38673084129225133</v>
      </c>
      <c r="D21" s="27">
        <f t="shared" si="1"/>
        <v>1.173486120559226</v>
      </c>
      <c r="E21" s="27">
        <f t="shared" si="1"/>
        <v>2.4607021507322586</v>
      </c>
      <c r="F21" s="27">
        <f t="shared" si="1"/>
        <v>4.2484855492211269</v>
      </c>
      <c r="G21" s="27">
        <f t="shared" si="1"/>
        <v>6.5369491878651349</v>
      </c>
      <c r="H21" s="27">
        <f t="shared" si="1"/>
        <v>9.3262136209498667</v>
      </c>
      <c r="I21" s="27">
        <f t="shared" si="1"/>
        <v>12.616408703560239</v>
      </c>
      <c r="J21" s="27">
        <f t="shared" si="1"/>
        <v>16.407675448802745</v>
      </c>
      <c r="K21" s="27">
        <f t="shared" si="1"/>
        <v>20.700168183360145</v>
      </c>
      <c r="L21" s="27">
        <f t="shared" si="1"/>
        <v>25.494057075145896</v>
      </c>
      <c r="M21" s="27">
        <f t="shared" si="1"/>
        <v>30.789531125592749</v>
      </c>
      <c r="N21" s="27">
        <f t="shared" si="1"/>
        <v>36.586801743850344</v>
      </c>
      <c r="O21" s="27">
        <f t="shared" si="1"/>
        <v>42.886107052989317</v>
      </c>
      <c r="P21" s="27">
        <f t="shared" si="1"/>
        <v>49.687717122188786</v>
      </c>
    </row>
    <row r="22" spans="1:16" x14ac:dyDescent="0.3">
      <c r="A22">
        <f t="shared" si="3"/>
        <v>7.2776395278265044E-2</v>
      </c>
      <c r="B22" s="27">
        <f t="shared" si="2"/>
        <v>0.10033467208545055</v>
      </c>
      <c r="C22" s="27">
        <f t="shared" si="1"/>
        <v>0.38724022382033085</v>
      </c>
      <c r="D22" s="27">
        <f t="shared" si="1"/>
        <v>1.174516397075354</v>
      </c>
      <c r="E22" s="27">
        <f t="shared" si="1"/>
        <v>2.4622692402857695</v>
      </c>
      <c r="F22" s="27">
        <f t="shared" si="1"/>
        <v>4.2506100980295578</v>
      </c>
      <c r="G22" s="27">
        <f t="shared" si="1"/>
        <v>6.5396569855983246</v>
      </c>
      <c r="H22" s="27">
        <f t="shared" si="1"/>
        <v>9.3295361284384715</v>
      </c>
      <c r="I22" s="27">
        <f t="shared" si="1"/>
        <v>12.620383711145506</v>
      </c>
      <c r="J22" s="27">
        <f t="shared" si="1"/>
        <v>16.412347890167204</v>
      </c>
      <c r="K22" s="27">
        <f t="shared" si="1"/>
        <v>20.705591136820008</v>
      </c>
      <c r="L22" s="27">
        <f t="shared" si="1"/>
        <v>25.500292993577585</v>
      </c>
      <c r="M22" s="27">
        <f t="shared" si="1"/>
        <v>30.796653348137902</v>
      </c>
      <c r="N22" s="27">
        <f t="shared" si="1"/>
        <v>36.594896358308745</v>
      </c>
      <c r="O22" s="27">
        <f t="shared" si="1"/>
        <v>42.895275198790692</v>
      </c>
      <c r="P22" s="27">
        <f t="shared" si="1"/>
        <v>49.698077852054944</v>
      </c>
    </row>
    <row r="23" spans="1:16" x14ac:dyDescent="0.3">
      <c r="A23">
        <v>1.06777639527827</v>
      </c>
      <c r="B23" s="27">
        <f t="shared" si="2"/>
        <v>0.10033467208545055</v>
      </c>
      <c r="C23" s="27">
        <f t="shared" si="1"/>
        <v>0.98508688578629899</v>
      </c>
      <c r="D23" s="27">
        <f t="shared" si="1"/>
        <v>3.3454493301157182</v>
      </c>
      <c r="E23" s="27">
        <f t="shared" si="1"/>
        <v>-5.347599221663101</v>
      </c>
      <c r="F23" s="27">
        <f t="shared" si="1"/>
        <v>2.7240905475031503</v>
      </c>
      <c r="G23" s="27">
        <f t="shared" si="1"/>
        <v>5.8596594097069792</v>
      </c>
      <c r="H23" s="27">
        <f t="shared" si="1"/>
        <v>9.1631617193159176</v>
      </c>
      <c r="I23" s="27">
        <f t="shared" si="1"/>
        <v>13.084836490652473</v>
      </c>
      <c r="J23" s="27">
        <f t="shared" si="1"/>
        <v>18.815461752457583</v>
      </c>
      <c r="K23" s="27">
        <f t="shared" si="1"/>
        <v>15.122382295199294</v>
      </c>
      <c r="L23" s="27">
        <f t="shared" si="1"/>
        <v>23.874661584109852</v>
      </c>
      <c r="M23" s="27">
        <f t="shared" si="1"/>
        <v>29.929214704178069</v>
      </c>
      <c r="N23" s="27">
        <f t="shared" si="1"/>
        <v>36.22726900794688</v>
      </c>
      <c r="O23" s="27">
        <f t="shared" si="1"/>
        <v>43.19544155101454</v>
      </c>
      <c r="P23" s="27">
        <f t="shared" si="1"/>
        <v>52.483546309296564</v>
      </c>
    </row>
    <row r="24" spans="1:16" x14ac:dyDescent="0.3">
      <c r="A24">
        <f t="shared" ref="A24:A44" si="4">A23+0.001</f>
        <v>1.0687763952782698</v>
      </c>
      <c r="B24" s="27">
        <f t="shared" si="2"/>
        <v>0.10033467208545055</v>
      </c>
      <c r="C24" s="27">
        <f t="shared" si="1"/>
        <v>0.98585734539270764</v>
      </c>
      <c r="D24" s="27">
        <f t="shared" si="1"/>
        <v>3.3519657487777832</v>
      </c>
      <c r="E24" s="27">
        <f t="shared" si="1"/>
        <v>-5.2605064296373447</v>
      </c>
      <c r="F24" s="27">
        <f t="shared" si="1"/>
        <v>2.7293330663962969</v>
      </c>
      <c r="G24" s="27">
        <f t="shared" si="1"/>
        <v>5.8625375215344491</v>
      </c>
      <c r="H24" s="27">
        <f t="shared" si="1"/>
        <v>9.1662431020911548</v>
      </c>
      <c r="I24" s="27">
        <f t="shared" si="1"/>
        <v>13.090793252083701</v>
      </c>
      <c r="J24" s="27">
        <f t="shared" si="1"/>
        <v>18.851575957234161</v>
      </c>
      <c r="K24" s="27">
        <f t="shared" si="1"/>
        <v>15.242429194752599</v>
      </c>
      <c r="L24" s="27">
        <f t="shared" si="1"/>
        <v>23.885930205702714</v>
      </c>
      <c r="M24" s="27">
        <f t="shared" si="1"/>
        <v>29.935270049308105</v>
      </c>
      <c r="N24" s="27">
        <f t="shared" si="1"/>
        <v>36.233587607112675</v>
      </c>
      <c r="O24" s="27">
        <f t="shared" si="1"/>
        <v>43.207827932576741</v>
      </c>
      <c r="P24" s="27">
        <f t="shared" si="1"/>
        <v>52.57779166940005</v>
      </c>
    </row>
    <row r="25" spans="1:16" x14ac:dyDescent="0.3">
      <c r="A25">
        <f t="shared" si="4"/>
        <v>1.0697763952782697</v>
      </c>
      <c r="B25" s="27">
        <f t="shared" si="2"/>
        <v>0.10033467208545055</v>
      </c>
      <c r="C25" s="27">
        <f t="shared" si="1"/>
        <v>0.9866283721561977</v>
      </c>
      <c r="D25" s="27">
        <f t="shared" si="1"/>
        <v>3.3585128925013779</v>
      </c>
      <c r="E25" s="27">
        <f t="shared" si="1"/>
        <v>-5.1753541110826742</v>
      </c>
      <c r="F25" s="27">
        <f t="shared" si="1"/>
        <v>2.7345490068171525</v>
      </c>
      <c r="G25" s="27">
        <f t="shared" si="1"/>
        <v>5.8654100629444237</v>
      </c>
      <c r="H25" s="27">
        <f t="shared" si="1"/>
        <v>9.1693275599610473</v>
      </c>
      <c r="I25" s="27">
        <f t="shared" si="1"/>
        <v>13.096785175967456</v>
      </c>
      <c r="J25" s="27">
        <f t="shared" si="1"/>
        <v>18.888523531303171</v>
      </c>
      <c r="K25" s="27">
        <f t="shared" si="1"/>
        <v>15.357184998364794</v>
      </c>
      <c r="L25" s="27">
        <f t="shared" si="1"/>
        <v>23.897073981381105</v>
      </c>
      <c r="M25" s="27">
        <f t="shared" si="1"/>
        <v>29.941304466670179</v>
      </c>
      <c r="N25" s="27">
        <f t="shared" si="1"/>
        <v>36.239923942706881</v>
      </c>
      <c r="O25" s="27">
        <f t="shared" si="1"/>
        <v>43.220369514875266</v>
      </c>
      <c r="P25" s="27">
        <f t="shared" si="1"/>
        <v>52.676879038177645</v>
      </c>
    </row>
    <row r="26" spans="1:16" x14ac:dyDescent="0.3">
      <c r="A26">
        <f t="shared" si="4"/>
        <v>1.0707763952782696</v>
      </c>
      <c r="B26" s="27">
        <f t="shared" si="2"/>
        <v>0.10033467208545055</v>
      </c>
      <c r="C26" s="27">
        <f t="shared" si="1"/>
        <v>0.98739996708918965</v>
      </c>
      <c r="D26" s="27">
        <f t="shared" si="1"/>
        <v>3.3650909922913352</v>
      </c>
      <c r="E26" s="27">
        <f t="shared" si="1"/>
        <v>-5.0920777577320129</v>
      </c>
      <c r="F26" s="27">
        <f t="shared" si="1"/>
        <v>2.7397386117873941</v>
      </c>
      <c r="G26" s="27">
        <f t="shared" si="1"/>
        <v>5.8682770858961595</v>
      </c>
      <c r="H26" s="27">
        <f t="shared" si="1"/>
        <v>9.1724151531353737</v>
      </c>
      <c r="I26" s="27">
        <f t="shared" si="1"/>
        <v>13.102812722680005</v>
      </c>
      <c r="J26" s="27">
        <f t="shared" si="1"/>
        <v>18.92633488162814</v>
      </c>
      <c r="K26" s="27">
        <f t="shared" si="1"/>
        <v>15.466996324212195</v>
      </c>
      <c r="L26" s="27">
        <f t="shared" si="1"/>
        <v>23.908095522517737</v>
      </c>
      <c r="M26" s="27">
        <f t="shared" si="1"/>
        <v>29.94731842778258</v>
      </c>
      <c r="N26" s="27">
        <f t="shared" si="1"/>
        <v>36.24627854768331</v>
      </c>
      <c r="O26" s="27">
        <f t="shared" si="1"/>
        <v>43.233070313254593</v>
      </c>
      <c r="P26" s="27">
        <f t="shared" si="1"/>
        <v>52.781201896058356</v>
      </c>
    </row>
    <row r="27" spans="1:16" x14ac:dyDescent="0.3">
      <c r="A27">
        <f t="shared" si="4"/>
        <v>1.0717763952782695</v>
      </c>
      <c r="B27" s="27">
        <f t="shared" si="2"/>
        <v>0.10033467208545055</v>
      </c>
      <c r="C27" s="27">
        <f t="shared" si="1"/>
        <v>0.98817213120616543</v>
      </c>
      <c r="D27" s="27">
        <f t="shared" si="1"/>
        <v>3.3717002814665427</v>
      </c>
      <c r="E27" s="27">
        <f t="shared" si="1"/>
        <v>-5.0106156891968237</v>
      </c>
      <c r="F27" s="27">
        <f t="shared" si="1"/>
        <v>2.7449021214615739</v>
      </c>
      <c r="G27" s="27">
        <f t="shared" si="1"/>
        <v>5.8711386420117684</v>
      </c>
      <c r="H27" s="27">
        <f t="shared" si="1"/>
        <v>9.1755059420593739</v>
      </c>
      <c r="I27" s="27">
        <f t="shared" si="1"/>
        <v>13.10887635984397</v>
      </c>
      <c r="J27" s="27">
        <f t="shared" si="1"/>
        <v>18.965041910336673</v>
      </c>
      <c r="K27" s="27">
        <f t="shared" si="1"/>
        <v>15.572180166760846</v>
      </c>
      <c r="L27" s="27">
        <f t="shared" si="1"/>
        <v>23.918997371418222</v>
      </c>
      <c r="M27" s="27">
        <f t="shared" si="1"/>
        <v>29.953312398505137</v>
      </c>
      <c r="N27" s="27">
        <f t="shared" si="1"/>
        <v>36.252651960712171</v>
      </c>
      <c r="O27" s="27">
        <f t="shared" si="1"/>
        <v>43.245934472918123</v>
      </c>
      <c r="P27" s="27">
        <f t="shared" si="1"/>
        <v>52.891197516654735</v>
      </c>
    </row>
    <row r="28" spans="1:16" x14ac:dyDescent="0.3">
      <c r="A28">
        <f t="shared" si="4"/>
        <v>1.0727763952782694</v>
      </c>
      <c r="B28" s="27">
        <f t="shared" si="2"/>
        <v>0.10033467208545055</v>
      </c>
      <c r="C28" s="27">
        <f t="shared" si="1"/>
        <v>0.98894486552367356</v>
      </c>
      <c r="D28" s="27">
        <f t="shared" si="1"/>
        <v>3.3783409956890122</v>
      </c>
      <c r="E28" s="27">
        <f t="shared" si="1"/>
        <v>-4.9309088996870898</v>
      </c>
      <c r="F28" s="27">
        <f t="shared" si="1"/>
        <v>2.7500397731696822</v>
      </c>
      <c r="G28" s="27">
        <f t="shared" si="1"/>
        <v>5.8739947825802696</v>
      </c>
      <c r="H28" s="27">
        <f t="shared" si="1"/>
        <v>9.1785999874186466</v>
      </c>
      <c r="I28" s="27">
        <f t="shared" si="1"/>
        <v>13.114976562477811</v>
      </c>
      <c r="J28" s="27">
        <f t="shared" si="1"/>
        <v>19.0046781077967</v>
      </c>
      <c r="K28" s="27">
        <f t="shared" si="1"/>
        <v>15.673026995414567</v>
      </c>
      <c r="L28" s="27">
        <f t="shared" si="1"/>
        <v>23.929782003626485</v>
      </c>
      <c r="M28" s="27">
        <f t="shared" si="1"/>
        <v>29.959286839194746</v>
      </c>
      <c r="N28" s="27">
        <f t="shared" si="1"/>
        <v>36.259044726373723</v>
      </c>
      <c r="O28" s="27">
        <f t="shared" si="1"/>
        <v>43.258966274365079</v>
      </c>
      <c r="P28" s="27">
        <f t="shared" si="1"/>
        <v>53.007353234553541</v>
      </c>
    </row>
    <row r="29" spans="1:16" x14ac:dyDescent="0.3">
      <c r="A29">
        <v>2.06777639527827</v>
      </c>
      <c r="B29" s="27">
        <f t="shared" si="2"/>
        <v>0.10033467208545055</v>
      </c>
      <c r="C29" s="27">
        <f t="shared" si="1"/>
        <v>2.3912869535018246</v>
      </c>
      <c r="D29" s="27">
        <f t="shared" si="1"/>
        <v>-0.47121015524911702</v>
      </c>
      <c r="E29" s="27">
        <f t="shared" si="1"/>
        <v>2.3101443030754516</v>
      </c>
      <c r="F29" s="27">
        <f t="shared" si="1"/>
        <v>5.9357481519102127</v>
      </c>
      <c r="G29" s="27">
        <f t="shared" si="1"/>
        <v>4.6444779097822337</v>
      </c>
      <c r="H29" s="27">
        <f t="shared" si="1"/>
        <v>9.0201466037306748</v>
      </c>
      <c r="I29" s="27">
        <f t="shared" si="1"/>
        <v>14.009716842183222</v>
      </c>
      <c r="J29" s="27">
        <f t="shared" si="1"/>
        <v>14.241755760233357</v>
      </c>
      <c r="K29" s="27">
        <f t="shared" si="1"/>
        <v>20.230213236310963</v>
      </c>
      <c r="L29" s="27">
        <f t="shared" si="1"/>
        <v>26.606809720968414</v>
      </c>
      <c r="M29" s="27">
        <f t="shared" si="1"/>
        <v>28.315958183503497</v>
      </c>
      <c r="N29" s="27">
        <f t="shared" si="1"/>
        <v>35.940216686912649</v>
      </c>
      <c r="O29" s="27">
        <f t="shared" si="1"/>
        <v>43.72234900334351</v>
      </c>
      <c r="P29" s="27">
        <f t="shared" si="1"/>
        <v>46.860720445682809</v>
      </c>
    </row>
    <row r="30" spans="1:16" x14ac:dyDescent="0.3">
      <c r="A30">
        <f t="shared" ref="A30:A44" si="5">A29+0.001</f>
        <v>2.0687763952782698</v>
      </c>
      <c r="B30" s="27">
        <f t="shared" si="2"/>
        <v>0.10033467208545055</v>
      </c>
      <c r="C30" s="27">
        <f t="shared" si="1"/>
        <v>2.3940825016788252</v>
      </c>
      <c r="D30" s="27">
        <f t="shared" si="1"/>
        <v>-0.46805034362189324</v>
      </c>
      <c r="E30" s="27">
        <f t="shared" si="1"/>
        <v>2.3116498660369649</v>
      </c>
      <c r="F30" s="27">
        <f t="shared" si="1"/>
        <v>5.9452793062625151</v>
      </c>
      <c r="G30" s="27">
        <f t="shared" si="1"/>
        <v>4.6533864242551477</v>
      </c>
      <c r="H30" s="27">
        <f t="shared" si="1"/>
        <v>9.0231480117963656</v>
      </c>
      <c r="I30" s="27">
        <f t="shared" si="1"/>
        <v>14.024143869057554</v>
      </c>
      <c r="J30" s="27">
        <f t="shared" si="1"/>
        <v>14.258007241839023</v>
      </c>
      <c r="K30" s="27">
        <f t="shared" si="1"/>
        <v>20.234714627711618</v>
      </c>
      <c r="L30" s="27">
        <f t="shared" si="1"/>
        <v>26.624864108647031</v>
      </c>
      <c r="M30" s="27">
        <f t="shared" si="1"/>
        <v>28.341756864748621</v>
      </c>
      <c r="N30" s="27">
        <f t="shared" si="1"/>
        <v>35.946236044269504</v>
      </c>
      <c r="O30" s="27">
        <f t="shared" si="1"/>
        <v>43.743139037668087</v>
      </c>
      <c r="P30" s="27">
        <f t="shared" si="1"/>
        <v>46.899180751528839</v>
      </c>
    </row>
    <row r="31" spans="1:16" x14ac:dyDescent="0.3">
      <c r="A31">
        <f t="shared" si="4"/>
        <v>2.0697763952782697</v>
      </c>
      <c r="B31" s="27">
        <f t="shared" si="2"/>
        <v>0.10033467208545055</v>
      </c>
      <c r="C31" s="27">
        <f t="shared" si="1"/>
        <v>2.3968840501748438</v>
      </c>
      <c r="D31" s="27">
        <f t="shared" si="1"/>
        <v>-0.46489979592293462</v>
      </c>
      <c r="E31" s="27">
        <f t="shared" si="1"/>
        <v>2.3131557074777045</v>
      </c>
      <c r="F31" s="27">
        <f t="shared" si="1"/>
        <v>5.9548849134063415</v>
      </c>
      <c r="G31" s="27">
        <f t="shared" si="1"/>
        <v>4.6622241040437977</v>
      </c>
      <c r="H31" s="27">
        <f t="shared" si="1"/>
        <v>9.026149836752035</v>
      </c>
      <c r="I31" s="27">
        <f t="shared" si="1"/>
        <v>14.038751185525889</v>
      </c>
      <c r="J31" s="27">
        <f t="shared" si="1"/>
        <v>14.274033809731257</v>
      </c>
      <c r="K31" s="27">
        <f t="shared" si="1"/>
        <v>20.239215399901692</v>
      </c>
      <c r="L31" s="27">
        <f t="shared" si="1"/>
        <v>26.643214260942329</v>
      </c>
      <c r="M31" s="27">
        <f t="shared" si="1"/>
        <v>28.367019633452578</v>
      </c>
      <c r="N31" s="27">
        <f t="shared" si="1"/>
        <v>35.952251519338581</v>
      </c>
      <c r="O31" s="27">
        <f t="shared" si="1"/>
        <v>43.764336584155849</v>
      </c>
      <c r="P31" s="27">
        <f t="shared" si="1"/>
        <v>46.936526258984337</v>
      </c>
    </row>
    <row r="32" spans="1:16" x14ac:dyDescent="0.3">
      <c r="A32">
        <f t="shared" si="4"/>
        <v>2.0707763952782696</v>
      </c>
      <c r="B32" s="27">
        <f t="shared" si="2"/>
        <v>0.10033467208545055</v>
      </c>
      <c r="C32" s="27">
        <f t="shared" si="1"/>
        <v>2.3996916197344089</v>
      </c>
      <c r="D32" s="27">
        <f t="shared" si="1"/>
        <v>-0.46175846519846675</v>
      </c>
      <c r="E32" s="27">
        <f t="shared" si="1"/>
        <v>2.3146618342531333</v>
      </c>
      <c r="F32" s="27">
        <f t="shared" si="1"/>
        <v>5.9645659268981328</v>
      </c>
      <c r="G32" s="27">
        <f t="shared" si="1"/>
        <v>4.6709918998125373</v>
      </c>
      <c r="H32" s="27">
        <f t="shared" si="1"/>
        <v>9.0291521327294646</v>
      </c>
      <c r="I32" s="27">
        <f t="shared" si="1"/>
        <v>14.053542557028649</v>
      </c>
      <c r="J32" s="27">
        <f t="shared" si="1"/>
        <v>14.289840603229429</v>
      </c>
      <c r="K32" s="27">
        <f t="shared" si="1"/>
        <v>20.243715735258768</v>
      </c>
      <c r="L32" s="27">
        <f t="shared" si="1"/>
        <v>26.66186844604589</v>
      </c>
      <c r="M32" s="27">
        <f t="shared" si="1"/>
        <v>28.391764498277695</v>
      </c>
      <c r="N32" s="27">
        <f t="shared" si="1"/>
        <v>35.958263548595959</v>
      </c>
      <c r="O32" s="27">
        <f t="shared" si="1"/>
        <v>43.785955587924157</v>
      </c>
      <c r="P32" s="27">
        <f t="shared" si="1"/>
        <v>46.972808250198163</v>
      </c>
    </row>
    <row r="33" spans="1:16" x14ac:dyDescent="0.3">
      <c r="A33">
        <f t="shared" si="4"/>
        <v>2.0717763952782695</v>
      </c>
      <c r="B33" s="27">
        <f t="shared" si="2"/>
        <v>0.10033467208545055</v>
      </c>
      <c r="C33" s="27">
        <f t="shared" si="2"/>
        <v>2.4025052311973458</v>
      </c>
      <c r="D33" s="27">
        <f t="shared" si="2"/>
        <v>-0.45862630480580258</v>
      </c>
      <c r="E33" s="27">
        <f t="shared" si="2"/>
        <v>2.3161682532238812</v>
      </c>
      <c r="F33" s="27">
        <f t="shared" si="2"/>
        <v>5.9743233165407013</v>
      </c>
      <c r="G33" s="27">
        <f t="shared" si="2"/>
        <v>4.6796907455167123</v>
      </c>
      <c r="H33" s="27">
        <f t="shared" si="2"/>
        <v>9.0321549538943842</v>
      </c>
      <c r="I33" s="27">
        <f t="shared" si="2"/>
        <v>14.068521853632852</v>
      </c>
      <c r="J33" s="27">
        <f t="shared" si="2"/>
        <v>14.30543260778391</v>
      </c>
      <c r="K33" s="27">
        <f t="shared" si="2"/>
        <v>20.248215816089633</v>
      </c>
      <c r="L33" s="27">
        <f t="shared" si="2"/>
        <v>26.680835239339064</v>
      </c>
      <c r="M33" s="27">
        <f t="shared" si="2"/>
        <v>28.416008675579199</v>
      </c>
      <c r="N33" s="27">
        <f t="shared" si="2"/>
        <v>35.964272567521853</v>
      </c>
      <c r="O33" s="27">
        <f t="shared" si="2"/>
        <v>43.808010626867983</v>
      </c>
      <c r="P33" s="27">
        <f t="shared" si="2"/>
        <v>47.008074924773446</v>
      </c>
    </row>
    <row r="34" spans="1:16" x14ac:dyDescent="0.3">
      <c r="A34">
        <f t="shared" si="4"/>
        <v>2.0727763952782694</v>
      </c>
      <c r="B34" s="27">
        <f t="shared" si="2"/>
        <v>0.10033467208545055</v>
      </c>
      <c r="C34" s="27">
        <f t="shared" si="2"/>
        <v>2.4053249054993269</v>
      </c>
      <c r="D34" s="27">
        <f t="shared" si="2"/>
        <v>-0.45550326841075606</v>
      </c>
      <c r="E34" s="27">
        <f t="shared" si="2"/>
        <v>2.317674971255872</v>
      </c>
      <c r="F34" s="27">
        <f t="shared" si="2"/>
        <v>5.9841580687313032</v>
      </c>
      <c r="G34" s="27">
        <f t="shared" si="2"/>
        <v>4.688321558769557</v>
      </c>
      <c r="H34" s="27">
        <f t="shared" si="2"/>
        <v>9.03515835445039</v>
      </c>
      <c r="I34" s="27">
        <f t="shared" si="2"/>
        <v>14.0836930537005</v>
      </c>
      <c r="J34" s="27">
        <f t="shared" si="2"/>
        <v>14.320814660707422</v>
      </c>
      <c r="K34" s="27">
        <f t="shared" si="2"/>
        <v>20.252715824659841</v>
      </c>
      <c r="L34" s="27">
        <f t="shared" si="2"/>
        <v>26.700123537843332</v>
      </c>
      <c r="M34" s="27">
        <f t="shared" si="2"/>
        <v>28.439768632585924</v>
      </c>
      <c r="N34" s="27">
        <f t="shared" si="2"/>
        <v>35.970279010727168</v>
      </c>
      <c r="O34" s="27">
        <f t="shared" si="2"/>
        <v>43.830516948140357</v>
      </c>
      <c r="P34" s="27">
        <f t="shared" si="2"/>
        <v>47.042371628246457</v>
      </c>
    </row>
    <row r="35" spans="1:16" x14ac:dyDescent="0.3">
      <c r="A35">
        <v>3.06777639527827</v>
      </c>
      <c r="B35" s="27">
        <f t="shared" si="2"/>
        <v>0.10033467208545055</v>
      </c>
      <c r="C35" s="27">
        <f t="shared" si="2"/>
        <v>-15.578866270757517</v>
      </c>
      <c r="D35" s="27">
        <f t="shared" si="2"/>
        <v>1.0261897270857916</v>
      </c>
      <c r="E35" s="27">
        <f t="shared" si="2"/>
        <v>95.491843905859398</v>
      </c>
      <c r="F35" s="27">
        <f t="shared" si="2"/>
        <v>3.9523314268699106</v>
      </c>
      <c r="G35" s="27">
        <f t="shared" si="2"/>
        <v>18.050436125126236</v>
      </c>
      <c r="H35" s="27">
        <f t="shared" si="2"/>
        <v>8.8779505657265769</v>
      </c>
      <c r="I35" s="27">
        <f t="shared" si="2"/>
        <v>18.511975302381757</v>
      </c>
      <c r="J35" s="27">
        <f t="shared" si="2"/>
        <v>15.802214807277883</v>
      </c>
      <c r="K35" s="27">
        <f t="shared" si="2"/>
        <v>24.479459426172255</v>
      </c>
      <c r="L35" s="27">
        <f t="shared" si="2"/>
        <v>24.724230689960226</v>
      </c>
      <c r="M35" s="27">
        <f t="shared" si="2"/>
        <v>33.415447980082845</v>
      </c>
      <c r="N35" s="27">
        <f t="shared" si="2"/>
        <v>35.642999648220673</v>
      </c>
      <c r="O35" s="27">
        <f t="shared" si="2"/>
        <v>44.755088976557332</v>
      </c>
      <c r="P35" s="27">
        <f t="shared" si="2"/>
        <v>48.557363239350643</v>
      </c>
    </row>
    <row r="36" spans="1:16" x14ac:dyDescent="0.3">
      <c r="A36">
        <f t="shared" ref="A36:A44" si="6">A35+0.001</f>
        <v>3.0687763952782698</v>
      </c>
      <c r="B36" s="27">
        <f t="shared" si="2"/>
        <v>0.10033467208545055</v>
      </c>
      <c r="C36" s="27">
        <f t="shared" si="2"/>
        <v>-15.454077389903254</v>
      </c>
      <c r="D36" s="27">
        <f t="shared" si="2"/>
        <v>1.027190439529553</v>
      </c>
      <c r="E36" s="27">
        <f t="shared" si="2"/>
        <v>110.65520742189767</v>
      </c>
      <c r="F36" s="27">
        <f t="shared" si="2"/>
        <v>3.9543357830385171</v>
      </c>
      <c r="G36" s="27">
        <f t="shared" si="2"/>
        <v>18.411720904568153</v>
      </c>
      <c r="H36" s="27">
        <f t="shared" si="2"/>
        <v>8.8809941486478277</v>
      </c>
      <c r="I36" s="27">
        <f t="shared" si="2"/>
        <v>18.655872851516225</v>
      </c>
      <c r="J36" s="27">
        <f t="shared" si="2"/>
        <v>15.806368019582628</v>
      </c>
      <c r="K36" s="27">
        <f t="shared" si="2"/>
        <v>24.566106600905513</v>
      </c>
      <c r="L36" s="27">
        <f t="shared" si="2"/>
        <v>24.729603569919107</v>
      </c>
      <c r="M36" s="27">
        <f t="shared" si="2"/>
        <v>33.477132868788686</v>
      </c>
      <c r="N36" s="27">
        <f t="shared" si="2"/>
        <v>35.649749965537751</v>
      </c>
      <c r="O36" s="27">
        <f t="shared" si="2"/>
        <v>44.80316300687705</v>
      </c>
      <c r="P36" s="27">
        <f t="shared" si="2"/>
        <v>48.565709007771154</v>
      </c>
    </row>
    <row r="37" spans="1:16" x14ac:dyDescent="0.3">
      <c r="A37">
        <f t="shared" si="4"/>
        <v>3.0697763952782697</v>
      </c>
      <c r="B37" s="27">
        <f t="shared" si="2"/>
        <v>0.10033467208545055</v>
      </c>
      <c r="C37" s="27">
        <f t="shared" si="2"/>
        <v>-15.331232935739747</v>
      </c>
      <c r="D37" s="27">
        <f t="shared" si="2"/>
        <v>1.0281912063944345</v>
      </c>
      <c r="E37" s="27">
        <f t="shared" si="2"/>
        <v>131.70752856591272</v>
      </c>
      <c r="F37" s="27">
        <f t="shared" si="2"/>
        <v>3.9563397731306491</v>
      </c>
      <c r="G37" s="27">
        <f t="shared" si="2"/>
        <v>18.795663860535466</v>
      </c>
      <c r="H37" s="27">
        <f t="shared" si="2"/>
        <v>8.8840355591131068</v>
      </c>
      <c r="I37" s="27">
        <f t="shared" si="2"/>
        <v>18.806370941209295</v>
      </c>
      <c r="J37" s="27">
        <f t="shared" si="2"/>
        <v>15.810514803274438</v>
      </c>
      <c r="K37" s="27">
        <f t="shared" si="2"/>
        <v>24.656186272391992</v>
      </c>
      <c r="L37" s="27">
        <f t="shared" si="2"/>
        <v>24.73496194129682</v>
      </c>
      <c r="M37" s="27">
        <f t="shared" si="2"/>
        <v>33.541047067155482</v>
      </c>
      <c r="N37" s="27">
        <f t="shared" si="2"/>
        <v>35.656471970427184</v>
      </c>
      <c r="O37" s="27">
        <f t="shared" si="2"/>
        <v>44.852859618559265</v>
      </c>
      <c r="P37" s="27">
        <f t="shared" si="2"/>
        <v>48.574004186271921</v>
      </c>
    </row>
    <row r="38" spans="1:16" x14ac:dyDescent="0.3">
      <c r="A38">
        <f t="shared" si="4"/>
        <v>3.0707763952782696</v>
      </c>
      <c r="B38" s="27">
        <f t="shared" si="2"/>
        <v>0.10033467208545055</v>
      </c>
      <c r="C38" s="27">
        <f t="shared" si="2"/>
        <v>-15.210287753292191</v>
      </c>
      <c r="D38" s="27">
        <f t="shared" si="2"/>
        <v>1.0291920296865762</v>
      </c>
      <c r="E38" s="27">
        <f t="shared" si="2"/>
        <v>162.9063040763948</v>
      </c>
      <c r="F38" s="27">
        <f t="shared" si="2"/>
        <v>3.9583434132742239</v>
      </c>
      <c r="G38" s="27">
        <f t="shared" si="2"/>
        <v>19.204470802670428</v>
      </c>
      <c r="H38" s="27">
        <f t="shared" si="2"/>
        <v>8.8870748541352054</v>
      </c>
      <c r="I38" s="27">
        <f t="shared" si="2"/>
        <v>18.963938330202176</v>
      </c>
      <c r="J38" s="27">
        <f t="shared" si="2"/>
        <v>15.814655305660617</v>
      </c>
      <c r="K38" s="27">
        <f t="shared" si="2"/>
        <v>24.749910400481902</v>
      </c>
      <c r="L38" s="27">
        <f t="shared" si="2"/>
        <v>24.740306129628099</v>
      </c>
      <c r="M38" s="27">
        <f t="shared" si="2"/>
        <v>33.6073177341395</v>
      </c>
      <c r="N38" s="27">
        <f t="shared" si="2"/>
        <v>35.663166321618561</v>
      </c>
      <c r="O38" s="27">
        <f t="shared" si="2"/>
        <v>44.904266787492901</v>
      </c>
      <c r="P38" s="27">
        <f t="shared" si="2"/>
        <v>48.58225003909633</v>
      </c>
    </row>
    <row r="39" spans="1:16" x14ac:dyDescent="0.3">
      <c r="A39">
        <f t="shared" si="4"/>
        <v>3.0717763952782695</v>
      </c>
      <c r="B39" s="27">
        <f t="shared" si="2"/>
        <v>0.10033467208545055</v>
      </c>
      <c r="C39" s="27">
        <f t="shared" si="2"/>
        <v>-15.091198075008124</v>
      </c>
      <c r="D39" s="27">
        <f t="shared" si="2"/>
        <v>1.0301929114125696</v>
      </c>
      <c r="E39" s="27">
        <f t="shared" si="2"/>
        <v>213.91607670679932</v>
      </c>
      <c r="F39" s="27">
        <f t="shared" si="2"/>
        <v>3.9603467195859285</v>
      </c>
      <c r="G39" s="27">
        <f t="shared" si="2"/>
        <v>19.64064346071595</v>
      </c>
      <c r="H39" s="27">
        <f t="shared" si="2"/>
        <v>8.8901120905715203</v>
      </c>
      <c r="I39" s="27">
        <f t="shared" si="2"/>
        <v>19.12908923775473</v>
      </c>
      <c r="J39" s="27">
        <f t="shared" si="2"/>
        <v>15.818789673201126</v>
      </c>
      <c r="K39" s="27">
        <f t="shared" si="2"/>
        <v>24.847508757913904</v>
      </c>
      <c r="L39" s="27">
        <f t="shared" si="2"/>
        <v>24.745636457311981</v>
      </c>
      <c r="M39" s="27">
        <f t="shared" si="2"/>
        <v>33.676081877464739</v>
      </c>
      <c r="N39" s="27">
        <f t="shared" si="2"/>
        <v>35.669833668466481</v>
      </c>
      <c r="O39" s="27">
        <f t="shared" si="2"/>
        <v>44.957478951379791</v>
      </c>
      <c r="P39" s="27">
        <f t="shared" si="2"/>
        <v>48.590447805885184</v>
      </c>
    </row>
    <row r="40" spans="1:16" x14ac:dyDescent="0.3">
      <c r="A40">
        <f t="shared" si="4"/>
        <v>3.0727763952782694</v>
      </c>
      <c r="B40" s="27">
        <f t="shared" si="2"/>
        <v>0.10033467208545055</v>
      </c>
      <c r="C40" s="27">
        <f t="shared" si="2"/>
        <v>-14.973921467876554</v>
      </c>
      <c r="D40" s="27">
        <f t="shared" si="2"/>
        <v>1.0311938535794747</v>
      </c>
      <c r="E40" s="27">
        <f t="shared" si="2"/>
        <v>312.38534960828457</v>
      </c>
      <c r="F40" s="27">
        <f t="shared" si="2"/>
        <v>3.9623497081717396</v>
      </c>
      <c r="G40" s="27">
        <f t="shared" si="2"/>
        <v>20.107030830546613</v>
      </c>
      <c r="H40" s="27">
        <f t="shared" si="2"/>
        <v>8.893147325128405</v>
      </c>
      <c r="I40" s="27">
        <f t="shared" si="2"/>
        <v>19.30238899164101</v>
      </c>
      <c r="J40" s="27">
        <f t="shared" si="2"/>
        <v>15.822918051530177</v>
      </c>
      <c r="K40" s="27">
        <f t="shared" si="2"/>
        <v>24.949230841817069</v>
      </c>
      <c r="L40" s="27">
        <f t="shared" si="2"/>
        <v>24.750953243694749</v>
      </c>
      <c r="M40" s="27">
        <f t="shared" si="2"/>
        <v>33.747487326167757</v>
      </c>
      <c r="N40" s="27">
        <f t="shared" si="2"/>
        <v>35.676474651223849</v>
      </c>
      <c r="O40" s="27">
        <f t="shared" si="2"/>
        <v>45.012597614435883</v>
      </c>
      <c r="P40" s="27">
        <f t="shared" si="2"/>
        <v>48.598598702491735</v>
      </c>
    </row>
    <row r="41" spans="1:16" x14ac:dyDescent="0.3">
      <c r="A41">
        <v>4.0677763952782602</v>
      </c>
      <c r="B41" s="27">
        <f t="shared" si="2"/>
        <v>0.10033467208545055</v>
      </c>
      <c r="C41" s="27">
        <f t="shared" si="2"/>
        <v>-1.3341205385643655</v>
      </c>
      <c r="D41" s="27">
        <f t="shared" si="2"/>
        <v>2.6509359653696167</v>
      </c>
      <c r="E41" s="27">
        <f t="shared" si="2"/>
        <v>2.1682982189857913</v>
      </c>
      <c r="F41" s="27">
        <f t="shared" si="2"/>
        <v>1.5076991592978914</v>
      </c>
      <c r="G41" s="27">
        <f t="shared" si="2"/>
        <v>7.3761539576633011</v>
      </c>
      <c r="H41" s="27">
        <f t="shared" si="2"/>
        <v>8.7307191484657043</v>
      </c>
      <c r="I41" s="27">
        <f t="shared" si="2"/>
        <v>7.3181228139485759</v>
      </c>
      <c r="J41" s="27">
        <f t="shared" si="2"/>
        <v>16.781152289236648</v>
      </c>
      <c r="K41" s="27">
        <f t="shared" si="2"/>
        <v>19.773634167902397</v>
      </c>
      <c r="L41" s="27">
        <f t="shared" si="2"/>
        <v>-28.961156040477974</v>
      </c>
      <c r="M41" s="27">
        <f t="shared" si="2"/>
        <v>30.772673697521572</v>
      </c>
      <c r="N41" s="27">
        <f t="shared" si="2"/>
        <v>35.276867743746585</v>
      </c>
      <c r="O41" s="27">
        <f t="shared" si="2"/>
        <v>48.3308818080897</v>
      </c>
      <c r="P41" s="27">
        <f t="shared" si="2"/>
        <v>49.309446791241129</v>
      </c>
    </row>
    <row r="42" spans="1:16" x14ac:dyDescent="0.3">
      <c r="A42">
        <f t="shared" ref="A42:A44" si="7">A41+0.001</f>
        <v>4.0687763952782605</v>
      </c>
      <c r="B42" s="27">
        <f t="shared" si="2"/>
        <v>0.10033467208545055</v>
      </c>
      <c r="C42" s="27">
        <f t="shared" si="2"/>
        <v>-1.332367208221207</v>
      </c>
      <c r="D42" s="27">
        <f t="shared" si="2"/>
        <v>2.6546677170583632</v>
      </c>
      <c r="E42" s="27">
        <f t="shared" si="2"/>
        <v>2.1698080478561339</v>
      </c>
      <c r="F42" s="27">
        <f t="shared" si="2"/>
        <v>1.5220507683399469</v>
      </c>
      <c r="G42" s="27">
        <f t="shared" si="2"/>
        <v>7.3818405362587267</v>
      </c>
      <c r="H42" s="27">
        <f t="shared" si="2"/>
        <v>8.7339340974689534</v>
      </c>
      <c r="I42" s="27">
        <f t="shared" si="2"/>
        <v>7.4052511420001057</v>
      </c>
      <c r="J42" s="27">
        <f t="shared" si="2"/>
        <v>16.787613307448034</v>
      </c>
      <c r="K42" s="27">
        <f t="shared" si="2"/>
        <v>19.779143554741363</v>
      </c>
      <c r="L42" s="27">
        <f t="shared" si="2"/>
        <v>-17.491585171360377</v>
      </c>
      <c r="M42" s="27">
        <f t="shared" si="2"/>
        <v>30.779696489660353</v>
      </c>
      <c r="N42" s="27">
        <f t="shared" si="2"/>
        <v>35.285965899465687</v>
      </c>
      <c r="O42" s="27">
        <f t="shared" si="2"/>
        <v>48.587895380389</v>
      </c>
      <c r="P42" s="27">
        <f t="shared" si="2"/>
        <v>49.317133869204682</v>
      </c>
    </row>
    <row r="43" spans="1:16" x14ac:dyDescent="0.3">
      <c r="A43">
        <f t="shared" si="4"/>
        <v>4.0697763952782608</v>
      </c>
      <c r="B43" s="27">
        <f t="shared" si="2"/>
        <v>0.10033467208545055</v>
      </c>
      <c r="C43" s="27">
        <f t="shared" si="2"/>
        <v>-1.3306166500973853</v>
      </c>
      <c r="D43" s="27">
        <f t="shared" si="2"/>
        <v>2.6584118388377171</v>
      </c>
      <c r="E43" s="27">
        <f t="shared" si="2"/>
        <v>2.1713175135415166</v>
      </c>
      <c r="F43" s="27">
        <f t="shared" si="2"/>
        <v>1.5362608284609554</v>
      </c>
      <c r="G43" s="27">
        <f t="shared" si="2"/>
        <v>7.3875593877416268</v>
      </c>
      <c r="H43" s="27">
        <f t="shared" si="2"/>
        <v>8.7371439182203243</v>
      </c>
      <c r="I43" s="27">
        <f t="shared" si="2"/>
        <v>7.4894739223831355</v>
      </c>
      <c r="J43" s="27">
        <f t="shared" si="2"/>
        <v>16.794115164810449</v>
      </c>
      <c r="K43" s="27">
        <f t="shared" si="2"/>
        <v>19.784629643615325</v>
      </c>
      <c r="L43" s="27">
        <f t="shared" si="2"/>
        <v>-10.041647369672091</v>
      </c>
      <c r="M43" s="27">
        <f t="shared" si="2"/>
        <v>30.786760321206092</v>
      </c>
      <c r="N43" s="27">
        <f t="shared" si="2"/>
        <v>35.294986430093829</v>
      </c>
      <c r="O43" s="27">
        <f t="shared" si="2"/>
        <v>48.866995160963135</v>
      </c>
      <c r="P43" s="27">
        <f t="shared" si="2"/>
        <v>49.32485515332133</v>
      </c>
    </row>
    <row r="44" spans="1:16" x14ac:dyDescent="0.3">
      <c r="A44">
        <f t="shared" si="4"/>
        <v>4.0707763952782612</v>
      </c>
      <c r="B44" s="27">
        <f t="shared" si="2"/>
        <v>0.10033467208545055</v>
      </c>
      <c r="C44" s="27">
        <f t="shared" si="2"/>
        <v>-1.3288688567500857</v>
      </c>
      <c r="D44" s="27">
        <f t="shared" si="2"/>
        <v>2.6621683998423462</v>
      </c>
      <c r="E44" s="27">
        <f t="shared" si="2"/>
        <v>2.1728266229631394</v>
      </c>
      <c r="F44" s="27">
        <f t="shared" si="2"/>
        <v>1.5503315355283136</v>
      </c>
      <c r="G44" s="27">
        <f t="shared" si="2"/>
        <v>7.3933108597278441</v>
      </c>
      <c r="H44" s="27">
        <f t="shared" si="2"/>
        <v>8.7403486806199417</v>
      </c>
      <c r="I44" s="27">
        <f t="shared" si="2"/>
        <v>7.5709360754316535</v>
      </c>
      <c r="J44" s="27">
        <f t="shared" si="2"/>
        <v>16.800658459807128</v>
      </c>
      <c r="K44" s="27">
        <f t="shared" si="2"/>
        <v>19.790092802784923</v>
      </c>
      <c r="L44" s="27">
        <f t="shared" si="2"/>
        <v>-4.8131026483876056</v>
      </c>
      <c r="M44" s="27">
        <f t="shared" si="2"/>
        <v>30.793865984096751</v>
      </c>
      <c r="N44" s="27">
        <f t="shared" si="2"/>
        <v>35.303930966115402</v>
      </c>
      <c r="O44" s="27">
        <f t="shared" si="2"/>
        <v>49.171182758278512</v>
      </c>
      <c r="P44" s="27">
        <f t="shared" si="2"/>
        <v>49.332611634234986</v>
      </c>
    </row>
    <row r="46" spans="1:16" x14ac:dyDescent="0.3">
      <c r="B46"/>
    </row>
    <row r="47" spans="1:16" x14ac:dyDescent="0.3">
      <c r="B47"/>
    </row>
    <row r="48" spans="1:16" x14ac:dyDescent="0.3">
      <c r="B48"/>
    </row>
    <row r="49" spans="2:2" x14ac:dyDescent="0.3">
      <c r="B49"/>
    </row>
    <row r="50" spans="2:2" x14ac:dyDescent="0.3">
      <c r="B50"/>
    </row>
    <row r="51" spans="2:2" x14ac:dyDescent="0.3">
      <c r="B51"/>
    </row>
    <row r="52" spans="2:2" x14ac:dyDescent="0.3">
      <c r="B52"/>
    </row>
    <row r="53" spans="2:2" x14ac:dyDescent="0.3">
      <c r="B53"/>
    </row>
    <row r="54" spans="2:2" x14ac:dyDescent="0.3">
      <c r="B54"/>
    </row>
    <row r="55" spans="2:2" x14ac:dyDescent="0.3">
      <c r="B55"/>
    </row>
    <row r="56" spans="2:2" x14ac:dyDescent="0.3">
      <c r="B56"/>
    </row>
    <row r="57" spans="2:2" x14ac:dyDescent="0.3">
      <c r="B57"/>
    </row>
    <row r="58" spans="2:2" x14ac:dyDescent="0.3">
      <c r="B58"/>
    </row>
    <row r="59" spans="2:2" x14ac:dyDescent="0.3">
      <c r="B59"/>
    </row>
    <row r="60" spans="2:2" x14ac:dyDescent="0.3">
      <c r="B60"/>
    </row>
    <row r="61" spans="2:2" x14ac:dyDescent="0.3">
      <c r="B61"/>
    </row>
    <row r="62" spans="2:2" x14ac:dyDescent="0.3">
      <c r="B62"/>
    </row>
    <row r="63" spans="2:2" x14ac:dyDescent="0.3">
      <c r="B63"/>
    </row>
    <row r="64" spans="2:2" x14ac:dyDescent="0.3">
      <c r="B64"/>
    </row>
    <row r="65" spans="2:2" x14ac:dyDescent="0.3">
      <c r="B65"/>
    </row>
    <row r="66" spans="2:2" x14ac:dyDescent="0.3">
      <c r="B66"/>
    </row>
    <row r="67" spans="2:2" x14ac:dyDescent="0.3">
      <c r="B67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4A2FA-6CF1-DE4E-8134-B3A92AF47613}">
  <dimension ref="A1:O55"/>
  <sheetViews>
    <sheetView zoomScale="110" zoomScaleNormal="110" workbookViewId="0">
      <pane ySplit="1" topLeftCell="A29" activePane="bottomLeft" state="frozen"/>
      <selection pane="bottomLeft" activeCell="A14" sqref="A14:F22"/>
    </sheetView>
  </sheetViews>
  <sheetFormatPr defaultColWidth="11" defaultRowHeight="15.6" x14ac:dyDescent="0.3"/>
  <cols>
    <col min="2" max="2" width="11.5" customWidth="1"/>
    <col min="5" max="5" width="18.796875" customWidth="1"/>
  </cols>
  <sheetData>
    <row r="1" spans="1:15" s="29" customFormat="1" ht="51" customHeight="1" x14ac:dyDescent="0.3">
      <c r="A1" s="29" t="s">
        <v>61</v>
      </c>
      <c r="B1" s="22" t="s">
        <v>71</v>
      </c>
      <c r="C1" s="22" t="s">
        <v>72</v>
      </c>
      <c r="D1" s="22" t="s">
        <v>73</v>
      </c>
      <c r="E1" s="29" t="s">
        <v>74</v>
      </c>
      <c r="F1" s="22" t="s">
        <v>75</v>
      </c>
    </row>
    <row r="2" spans="1:15" ht="27" customHeight="1" x14ac:dyDescent="0.3">
      <c r="A2" s="201" t="s">
        <v>84</v>
      </c>
      <c r="B2" s="201"/>
      <c r="C2" s="201"/>
      <c r="D2" s="201"/>
      <c r="E2" s="201"/>
      <c r="F2" s="201"/>
    </row>
    <row r="3" spans="1:15" x14ac:dyDescent="0.3">
      <c r="A3" t="s">
        <v>62</v>
      </c>
      <c r="B3" s="9">
        <v>0.24099999999999999</v>
      </c>
      <c r="C3" s="9">
        <v>58</v>
      </c>
      <c r="D3" s="9">
        <v>4.9000000000000004</v>
      </c>
      <c r="E3" s="9">
        <f>0.32*10^9</f>
        <v>320000000</v>
      </c>
      <c r="F3" s="13">
        <v>0</v>
      </c>
    </row>
    <row r="4" spans="1:15" x14ac:dyDescent="0.3">
      <c r="A4" t="s">
        <v>63</v>
      </c>
      <c r="B4" s="9">
        <v>0.61499999999999999</v>
      </c>
      <c r="C4" s="9">
        <v>108</v>
      </c>
      <c r="D4" s="9">
        <v>12.1</v>
      </c>
      <c r="E4" s="9">
        <f>4.86*10^9</f>
        <v>4860000000</v>
      </c>
      <c r="F4" s="13">
        <v>0</v>
      </c>
    </row>
    <row r="5" spans="1:15" x14ac:dyDescent="0.3">
      <c r="A5" t="s">
        <v>64</v>
      </c>
      <c r="B5" s="9">
        <v>1</v>
      </c>
      <c r="C5" s="9">
        <v>150</v>
      </c>
      <c r="D5" s="9">
        <v>12.8</v>
      </c>
      <c r="E5" s="9">
        <f>6*10^9</f>
        <v>6000000000</v>
      </c>
      <c r="F5" s="13">
        <v>1</v>
      </c>
    </row>
    <row r="6" spans="1:15" x14ac:dyDescent="0.3">
      <c r="A6" t="s">
        <v>65</v>
      </c>
      <c r="B6" s="9">
        <v>1.881</v>
      </c>
      <c r="C6" s="9">
        <v>288</v>
      </c>
      <c r="D6" s="9">
        <v>6.8</v>
      </c>
      <c r="E6" s="9">
        <f>6.1*10^8</f>
        <v>610000000</v>
      </c>
      <c r="F6" s="13">
        <v>2</v>
      </c>
    </row>
    <row r="7" spans="1:15" x14ac:dyDescent="0.3">
      <c r="A7" t="s">
        <v>66</v>
      </c>
      <c r="B7" s="9">
        <v>11.86</v>
      </c>
      <c r="C7" s="9">
        <v>778</v>
      </c>
      <c r="D7" s="9">
        <v>142.6</v>
      </c>
      <c r="E7" s="9">
        <f>19.07*10^11</f>
        <v>1907000000000</v>
      </c>
      <c r="F7" s="13">
        <v>16</v>
      </c>
    </row>
    <row r="8" spans="1:15" x14ac:dyDescent="0.3">
      <c r="A8" t="s">
        <v>67</v>
      </c>
      <c r="B8" s="9">
        <v>29.46</v>
      </c>
      <c r="C8" s="9">
        <v>1426</v>
      </c>
      <c r="D8" s="9">
        <v>120.2</v>
      </c>
      <c r="E8" s="9">
        <f>57.09*10^10</f>
        <v>570900000000</v>
      </c>
      <c r="F8" s="13">
        <v>17</v>
      </c>
    </row>
    <row r="9" spans="1:15" x14ac:dyDescent="0.3">
      <c r="A9" t="s">
        <v>68</v>
      </c>
      <c r="B9" s="9">
        <v>84.01</v>
      </c>
      <c r="C9" s="9">
        <v>2869</v>
      </c>
      <c r="D9" s="9">
        <v>49</v>
      </c>
      <c r="E9" s="9">
        <f>87.24*10^9</f>
        <v>87240000000</v>
      </c>
      <c r="F9" s="13">
        <v>14</v>
      </c>
      <c r="K9" s="28"/>
      <c r="L9" s="28"/>
      <c r="M9" s="28"/>
      <c r="O9" s="28"/>
    </row>
    <row r="10" spans="1:15" x14ac:dyDescent="0.3">
      <c r="A10" t="s">
        <v>69</v>
      </c>
      <c r="B10" s="9">
        <v>164.8</v>
      </c>
      <c r="C10" s="9">
        <v>4496</v>
      </c>
      <c r="D10" s="9">
        <v>50.2</v>
      </c>
      <c r="E10" s="9">
        <f>10.34*10^10</f>
        <v>103400000000</v>
      </c>
      <c r="F10" s="13">
        <v>2</v>
      </c>
      <c r="K10" s="13"/>
      <c r="L10" s="13"/>
      <c r="M10" s="13"/>
      <c r="N10" s="9"/>
      <c r="O10" s="13"/>
    </row>
    <row r="11" spans="1:15" x14ac:dyDescent="0.3">
      <c r="A11" t="s">
        <v>70</v>
      </c>
      <c r="B11" s="9">
        <v>247.7</v>
      </c>
      <c r="C11" s="9">
        <v>5900</v>
      </c>
      <c r="D11" s="9">
        <v>2.8</v>
      </c>
      <c r="E11" s="9">
        <f>0.1*10^9</f>
        <v>100000000</v>
      </c>
      <c r="F11" s="13">
        <v>1</v>
      </c>
      <c r="K11" s="13"/>
      <c r="L11" s="13"/>
      <c r="M11" s="13"/>
      <c r="N11" s="9"/>
      <c r="O11" s="13"/>
    </row>
    <row r="12" spans="1:15" x14ac:dyDescent="0.3">
      <c r="K12" s="13"/>
      <c r="L12" s="13"/>
      <c r="M12" s="13"/>
      <c r="N12" s="9"/>
      <c r="O12" s="13"/>
    </row>
    <row r="13" spans="1:15" x14ac:dyDescent="0.3">
      <c r="A13" s="201" t="s">
        <v>221</v>
      </c>
      <c r="B13" s="201"/>
      <c r="C13" s="201"/>
      <c r="D13" s="201"/>
      <c r="E13" s="201"/>
      <c r="F13" s="201"/>
      <c r="K13" s="13"/>
      <c r="L13" s="13"/>
      <c r="M13" s="13"/>
      <c r="N13" s="9"/>
      <c r="O13" s="13"/>
    </row>
    <row r="14" spans="1:15" x14ac:dyDescent="0.3">
      <c r="A14" t="s">
        <v>62</v>
      </c>
      <c r="B14" s="9">
        <v>0.24099999999999999</v>
      </c>
      <c r="C14" s="9">
        <v>0.38666666666666666</v>
      </c>
      <c r="D14" s="9">
        <v>0.3828125</v>
      </c>
      <c r="E14" s="9">
        <v>5.3333333333333337E-2</v>
      </c>
      <c r="F14" s="13">
        <v>0</v>
      </c>
      <c r="K14" s="13"/>
      <c r="L14" s="13"/>
      <c r="M14" s="13"/>
      <c r="N14" s="9"/>
      <c r="O14" s="13"/>
    </row>
    <row r="15" spans="1:15" x14ac:dyDescent="0.3">
      <c r="A15" t="s">
        <v>63</v>
      </c>
      <c r="B15" s="9">
        <v>0.61499999999999999</v>
      </c>
      <c r="C15" s="9">
        <v>0.72</v>
      </c>
      <c r="D15" s="9">
        <v>0.94531249999999989</v>
      </c>
      <c r="E15" s="9">
        <v>0.81</v>
      </c>
      <c r="F15" s="13">
        <v>0</v>
      </c>
      <c r="K15" s="13"/>
      <c r="L15" s="13"/>
      <c r="M15" s="13"/>
      <c r="N15" s="9"/>
      <c r="O15" s="13"/>
    </row>
    <row r="16" spans="1:15" x14ac:dyDescent="0.3">
      <c r="A16" t="s">
        <v>64</v>
      </c>
      <c r="B16" s="9">
        <v>1</v>
      </c>
      <c r="C16" s="9">
        <v>1</v>
      </c>
      <c r="D16" s="9">
        <v>1</v>
      </c>
      <c r="E16" s="9">
        <v>1</v>
      </c>
      <c r="F16" s="13">
        <v>1</v>
      </c>
      <c r="K16" s="13"/>
      <c r="L16" s="13"/>
      <c r="M16" s="13"/>
      <c r="N16" s="9"/>
      <c r="O16" s="13"/>
    </row>
    <row r="17" spans="1:15" x14ac:dyDescent="0.3">
      <c r="A17" t="s">
        <v>65</v>
      </c>
      <c r="B17" s="9">
        <v>1.881</v>
      </c>
      <c r="C17" s="9">
        <v>1.92</v>
      </c>
      <c r="D17" s="9">
        <v>0.53125</v>
      </c>
      <c r="E17" s="9">
        <v>0.10166666666666667</v>
      </c>
      <c r="F17" s="13">
        <v>2</v>
      </c>
      <c r="K17" s="13"/>
      <c r="L17" s="13"/>
      <c r="M17" s="13"/>
      <c r="N17" s="9"/>
      <c r="O17" s="13"/>
    </row>
    <row r="18" spans="1:15" x14ac:dyDescent="0.3">
      <c r="A18" t="s">
        <v>66</v>
      </c>
      <c r="B18" s="9">
        <v>11.86</v>
      </c>
      <c r="C18" s="9">
        <v>5.1866666666666665</v>
      </c>
      <c r="D18" s="9">
        <v>11.140624999999998</v>
      </c>
      <c r="E18" s="9">
        <v>317.83333333333331</v>
      </c>
      <c r="F18" s="13">
        <v>16</v>
      </c>
      <c r="K18" s="9"/>
      <c r="L18" s="9"/>
      <c r="M18" s="9"/>
      <c r="N18" s="9"/>
      <c r="O18" s="13"/>
    </row>
    <row r="19" spans="1:15" x14ac:dyDescent="0.3">
      <c r="A19" t="s">
        <v>67</v>
      </c>
      <c r="B19" s="9">
        <v>29.46</v>
      </c>
      <c r="C19" s="9">
        <v>9.5066666666666659</v>
      </c>
      <c r="D19" s="9">
        <v>9.390625</v>
      </c>
      <c r="E19" s="9">
        <v>95.15</v>
      </c>
      <c r="F19" s="13">
        <v>17</v>
      </c>
      <c r="K19" s="9"/>
      <c r="L19" s="9"/>
      <c r="M19" s="9"/>
      <c r="N19" s="9"/>
      <c r="O19" s="13"/>
    </row>
    <row r="20" spans="1:15" x14ac:dyDescent="0.3">
      <c r="A20" t="s">
        <v>68</v>
      </c>
      <c r="B20" s="9">
        <v>84.01</v>
      </c>
      <c r="C20" s="9">
        <v>19.126666666666665</v>
      </c>
      <c r="D20" s="9">
        <v>3.828125</v>
      </c>
      <c r="E20" s="9">
        <v>14.54</v>
      </c>
      <c r="F20" s="13">
        <v>14</v>
      </c>
      <c r="K20" s="9"/>
      <c r="L20" s="9"/>
      <c r="M20" s="9"/>
      <c r="N20" s="9"/>
      <c r="O20" s="13"/>
    </row>
    <row r="21" spans="1:15" x14ac:dyDescent="0.3">
      <c r="A21" t="s">
        <v>69</v>
      </c>
      <c r="B21" s="9">
        <v>164.8</v>
      </c>
      <c r="C21" s="9">
        <v>29.973333333333333</v>
      </c>
      <c r="D21" s="9">
        <v>3.921875</v>
      </c>
      <c r="E21" s="9">
        <v>17.233333333333334</v>
      </c>
      <c r="F21" s="13">
        <v>2</v>
      </c>
      <c r="K21" s="9"/>
      <c r="L21" s="9"/>
      <c r="M21" s="9"/>
      <c r="N21" s="9"/>
      <c r="O21" s="13"/>
    </row>
    <row r="22" spans="1:15" x14ac:dyDescent="0.3">
      <c r="A22" t="s">
        <v>70</v>
      </c>
      <c r="B22" s="9">
        <v>247.7</v>
      </c>
      <c r="C22" s="9">
        <v>39.333333333333336</v>
      </c>
      <c r="D22" s="9">
        <v>0.21874999999999997</v>
      </c>
      <c r="E22" s="9">
        <v>1.6666666666666666E-2</v>
      </c>
      <c r="F22" s="13">
        <v>1</v>
      </c>
      <c r="K22" s="9"/>
      <c r="L22" s="9"/>
      <c r="M22" s="9"/>
      <c r="N22" s="9"/>
      <c r="O22" s="13"/>
    </row>
    <row r="23" spans="1:15" x14ac:dyDescent="0.3">
      <c r="K23" s="9"/>
      <c r="L23" s="9"/>
      <c r="M23" s="9"/>
      <c r="N23" s="9"/>
      <c r="O23" s="13"/>
    </row>
    <row r="24" spans="1:15" x14ac:dyDescent="0.3">
      <c r="A24" s="201" t="s">
        <v>85</v>
      </c>
      <c r="B24" s="201"/>
      <c r="C24" s="201"/>
      <c r="D24" s="201"/>
      <c r="E24" s="201"/>
      <c r="F24" s="201"/>
      <c r="K24" s="9"/>
      <c r="L24" s="9"/>
      <c r="M24" s="9"/>
      <c r="N24" s="9"/>
      <c r="O24" s="13"/>
    </row>
    <row r="25" spans="1:15" x14ac:dyDescent="0.3">
      <c r="A25" t="s">
        <v>67</v>
      </c>
      <c r="B25" s="9">
        <v>29.46</v>
      </c>
      <c r="C25" s="9">
        <v>9.5066666666666659</v>
      </c>
      <c r="D25" s="9">
        <v>9.390625</v>
      </c>
      <c r="E25" s="9">
        <v>95.15</v>
      </c>
      <c r="F25" s="13">
        <v>17</v>
      </c>
      <c r="K25" s="9"/>
      <c r="L25" s="9"/>
      <c r="M25" s="9"/>
      <c r="N25" s="9"/>
      <c r="O25" s="13"/>
    </row>
    <row r="26" spans="1:15" x14ac:dyDescent="0.3">
      <c r="A26" t="s">
        <v>66</v>
      </c>
      <c r="B26" s="9">
        <v>11.86</v>
      </c>
      <c r="C26" s="9">
        <v>5.1866666666666665</v>
      </c>
      <c r="D26" s="9">
        <v>11.140624999999998</v>
      </c>
      <c r="E26" s="9">
        <v>317.83333333333331</v>
      </c>
      <c r="F26" s="13">
        <v>16</v>
      </c>
      <c r="K26" s="9"/>
      <c r="L26" s="9"/>
      <c r="M26" s="9"/>
      <c r="N26" s="9"/>
      <c r="O26" s="13"/>
    </row>
    <row r="27" spans="1:15" x14ac:dyDescent="0.3">
      <c r="A27" t="s">
        <v>68</v>
      </c>
      <c r="B27" s="9">
        <v>84.01</v>
      </c>
      <c r="C27" s="9">
        <v>19.126666666666665</v>
      </c>
      <c r="D27" s="9">
        <v>3.828125</v>
      </c>
      <c r="E27" s="9">
        <v>14.54</v>
      </c>
      <c r="F27" s="13">
        <v>14</v>
      </c>
      <c r="K27" s="13"/>
      <c r="L27" s="13"/>
      <c r="M27" s="13"/>
      <c r="N27" s="9"/>
      <c r="O27" s="13"/>
    </row>
    <row r="28" spans="1:15" x14ac:dyDescent="0.3">
      <c r="A28" t="s">
        <v>65</v>
      </c>
      <c r="B28" s="9">
        <v>1.881</v>
      </c>
      <c r="C28" s="9">
        <v>1.92</v>
      </c>
      <c r="D28" s="9">
        <v>0.53125</v>
      </c>
      <c r="E28" s="9">
        <v>0.10166666666666667</v>
      </c>
      <c r="F28" s="13">
        <v>2</v>
      </c>
      <c r="K28" s="13"/>
      <c r="L28" s="13"/>
      <c r="M28" s="13"/>
      <c r="N28" s="9"/>
      <c r="O28" s="13"/>
    </row>
    <row r="29" spans="1:15" x14ac:dyDescent="0.3">
      <c r="A29" t="s">
        <v>69</v>
      </c>
      <c r="B29" s="9">
        <v>164.8</v>
      </c>
      <c r="C29" s="9">
        <v>29.973333333333333</v>
      </c>
      <c r="D29" s="9">
        <v>3.921875</v>
      </c>
      <c r="E29" s="9">
        <v>17.233333333333334</v>
      </c>
      <c r="F29" s="13">
        <v>2</v>
      </c>
      <c r="K29" s="13"/>
      <c r="L29" s="13"/>
      <c r="M29" s="13"/>
      <c r="N29" s="9"/>
      <c r="O29" s="13"/>
    </row>
    <row r="30" spans="1:15" x14ac:dyDescent="0.3">
      <c r="A30" t="s">
        <v>64</v>
      </c>
      <c r="B30" s="9">
        <v>1</v>
      </c>
      <c r="C30" s="9">
        <v>1</v>
      </c>
      <c r="D30" s="9">
        <v>1</v>
      </c>
      <c r="E30" s="9">
        <v>1</v>
      </c>
      <c r="F30" s="13">
        <v>1</v>
      </c>
      <c r="K30" s="13"/>
      <c r="L30" s="13"/>
      <c r="M30" s="13"/>
      <c r="N30" s="9"/>
      <c r="O30" s="13"/>
    </row>
    <row r="31" spans="1:15" x14ac:dyDescent="0.3">
      <c r="A31" t="s">
        <v>70</v>
      </c>
      <c r="B31" s="9">
        <v>247.7</v>
      </c>
      <c r="C31" s="9">
        <v>39.333333333333336</v>
      </c>
      <c r="D31" s="9">
        <v>0.299072265625</v>
      </c>
      <c r="E31" s="9">
        <v>1.6666666666666666E-2</v>
      </c>
      <c r="F31" s="13">
        <v>1</v>
      </c>
    </row>
    <row r="32" spans="1:15" x14ac:dyDescent="0.3">
      <c r="A32" t="s">
        <v>62</v>
      </c>
      <c r="B32" s="9">
        <v>0.24099999999999999</v>
      </c>
      <c r="C32" s="9">
        <v>0.38666666666666666</v>
      </c>
      <c r="D32" s="9">
        <v>0.3828125</v>
      </c>
      <c r="E32" s="9">
        <v>5.3333333333333337E-2</v>
      </c>
      <c r="F32" s="13">
        <v>0</v>
      </c>
    </row>
    <row r="33" spans="1:15" x14ac:dyDescent="0.3">
      <c r="A33" t="s">
        <v>63</v>
      </c>
      <c r="B33" s="9">
        <v>0.61499999999999999</v>
      </c>
      <c r="C33" s="9">
        <v>0.72</v>
      </c>
      <c r="D33" s="9">
        <v>0.94531249999999989</v>
      </c>
      <c r="E33" s="9">
        <v>0.81</v>
      </c>
      <c r="F33" s="13">
        <v>0</v>
      </c>
      <c r="K33" s="28"/>
      <c r="L33" s="28"/>
      <c r="M33" s="28"/>
      <c r="O33" s="28"/>
    </row>
    <row r="34" spans="1:15" x14ac:dyDescent="0.3">
      <c r="K34" s="13"/>
      <c r="L34" s="13"/>
      <c r="M34" s="13"/>
      <c r="N34" s="9"/>
      <c r="O34" s="13"/>
    </row>
    <row r="35" spans="1:15" x14ac:dyDescent="0.3">
      <c r="A35" s="201" t="s">
        <v>86</v>
      </c>
      <c r="B35" s="201"/>
      <c r="C35" s="201"/>
      <c r="D35" s="201"/>
      <c r="E35" s="201"/>
      <c r="F35" s="201"/>
      <c r="K35" s="13"/>
      <c r="L35" s="13"/>
      <c r="M35" s="13"/>
      <c r="N35" s="9"/>
      <c r="O35" s="13"/>
    </row>
    <row r="36" spans="1:15" x14ac:dyDescent="0.3">
      <c r="A36" t="s">
        <v>63</v>
      </c>
      <c r="B36" s="9">
        <v>0.61499999999999999</v>
      </c>
      <c r="C36" s="9">
        <v>0.72</v>
      </c>
      <c r="D36" s="9">
        <v>0.94531249999999989</v>
      </c>
      <c r="E36" s="9">
        <v>0.81</v>
      </c>
      <c r="F36" s="13">
        <v>0</v>
      </c>
      <c r="K36" s="13"/>
      <c r="L36" s="13"/>
      <c r="M36" s="13"/>
      <c r="N36" s="9"/>
      <c r="O36" s="13"/>
    </row>
    <row r="37" spans="1:15" x14ac:dyDescent="0.3">
      <c r="A37" t="s">
        <v>64</v>
      </c>
      <c r="B37" s="9">
        <v>1</v>
      </c>
      <c r="C37" s="9">
        <v>1</v>
      </c>
      <c r="D37" s="9">
        <v>1</v>
      </c>
      <c r="E37" s="9">
        <v>1</v>
      </c>
      <c r="F37" s="13">
        <v>1</v>
      </c>
      <c r="K37" s="13"/>
      <c r="L37" s="13"/>
      <c r="M37" s="13"/>
      <c r="N37" s="9"/>
      <c r="O37" s="13"/>
    </row>
    <row r="38" spans="1:15" x14ac:dyDescent="0.3">
      <c r="A38" t="s">
        <v>65</v>
      </c>
      <c r="B38" s="9">
        <v>1.881</v>
      </c>
      <c r="C38" s="9">
        <v>1.92</v>
      </c>
      <c r="D38" s="9">
        <v>0.53125</v>
      </c>
      <c r="E38" s="9">
        <v>0.10166666666666667</v>
      </c>
      <c r="F38" s="13">
        <v>2</v>
      </c>
      <c r="K38" s="13"/>
      <c r="L38" s="13"/>
      <c r="M38" s="13"/>
      <c r="N38" s="9"/>
      <c r="O38" s="13"/>
    </row>
    <row r="39" spans="1:15" x14ac:dyDescent="0.3">
      <c r="A39" t="s">
        <v>62</v>
      </c>
      <c r="B39" s="9">
        <v>0.24099999999999999</v>
      </c>
      <c r="C39" s="9">
        <v>0.38666666666666666</v>
      </c>
      <c r="D39" s="9">
        <v>0.3828125</v>
      </c>
      <c r="E39" s="9">
        <v>5.3333333333333337E-2</v>
      </c>
      <c r="F39" s="13">
        <v>0</v>
      </c>
      <c r="K39" s="13"/>
      <c r="L39" s="13"/>
      <c r="M39" s="13"/>
      <c r="N39" s="9"/>
      <c r="O39" s="13"/>
    </row>
    <row r="40" spans="1:15" x14ac:dyDescent="0.3">
      <c r="A40" t="s">
        <v>69</v>
      </c>
      <c r="B40" s="9">
        <v>164.8</v>
      </c>
      <c r="C40" s="9">
        <v>29.973333333333333</v>
      </c>
      <c r="D40" s="9">
        <v>3.921875</v>
      </c>
      <c r="E40" s="9">
        <v>17.233333333333334</v>
      </c>
      <c r="F40" s="13">
        <v>2</v>
      </c>
      <c r="K40" s="13"/>
      <c r="L40" s="13"/>
      <c r="M40" s="13"/>
      <c r="N40" s="9"/>
      <c r="O40" s="13"/>
    </row>
    <row r="41" spans="1:15" x14ac:dyDescent="0.3">
      <c r="A41" t="s">
        <v>70</v>
      </c>
      <c r="B41" s="9">
        <v>247.7</v>
      </c>
      <c r="C41" s="9">
        <v>39.333333333333336</v>
      </c>
      <c r="D41" s="9">
        <v>7.8125E-2</v>
      </c>
      <c r="E41" s="9">
        <v>1.6666666666666666E-2</v>
      </c>
      <c r="F41" s="13">
        <v>1</v>
      </c>
      <c r="K41" s="13"/>
      <c r="L41" s="13"/>
      <c r="M41" s="13"/>
      <c r="N41" s="9"/>
      <c r="O41" s="13"/>
    </row>
    <row r="42" spans="1:15" x14ac:dyDescent="0.3">
      <c r="A42" t="s">
        <v>67</v>
      </c>
      <c r="B42" s="9">
        <v>29.46</v>
      </c>
      <c r="C42" s="9">
        <v>9.5066666666666659</v>
      </c>
      <c r="D42" s="9">
        <v>9.390625</v>
      </c>
      <c r="E42" s="9">
        <v>95.15</v>
      </c>
      <c r="F42" s="13">
        <v>17</v>
      </c>
      <c r="K42" s="13"/>
      <c r="L42" s="13"/>
      <c r="M42" s="13"/>
      <c r="N42" s="9"/>
      <c r="O42" s="13"/>
    </row>
    <row r="43" spans="1:15" x14ac:dyDescent="0.3">
      <c r="A43" t="s">
        <v>68</v>
      </c>
      <c r="B43" s="9">
        <v>84.01</v>
      </c>
      <c r="C43" s="9">
        <v>19.126666666666665</v>
      </c>
      <c r="D43" s="9">
        <v>3.828125</v>
      </c>
      <c r="E43" s="9">
        <v>14.54</v>
      </c>
      <c r="F43" s="13">
        <v>14</v>
      </c>
    </row>
    <row r="44" spans="1:15" x14ac:dyDescent="0.3">
      <c r="A44" t="s">
        <v>66</v>
      </c>
      <c r="B44" s="9">
        <v>11.86</v>
      </c>
      <c r="C44" s="9">
        <v>5.1866666666666665</v>
      </c>
      <c r="D44" s="9">
        <v>11.140624999999998</v>
      </c>
      <c r="E44" s="9">
        <v>317.83333333333331</v>
      </c>
      <c r="F44" s="13">
        <v>16</v>
      </c>
    </row>
    <row r="46" spans="1:15" x14ac:dyDescent="0.3">
      <c r="A46" s="201" t="s">
        <v>87</v>
      </c>
      <c r="B46" s="201"/>
      <c r="C46" s="201"/>
      <c r="D46" s="201"/>
      <c r="E46" s="201"/>
      <c r="F46" s="201"/>
    </row>
    <row r="47" spans="1:15" x14ac:dyDescent="0.3">
      <c r="A47" t="s">
        <v>70</v>
      </c>
      <c r="B47" s="9">
        <v>247.7</v>
      </c>
      <c r="C47" s="9">
        <v>39.333333333333336</v>
      </c>
      <c r="D47" s="9">
        <v>0.21874999999999997</v>
      </c>
      <c r="E47" s="9">
        <v>1.6666666666666666E-2</v>
      </c>
      <c r="F47" s="13">
        <v>1</v>
      </c>
    </row>
    <row r="48" spans="1:15" x14ac:dyDescent="0.3">
      <c r="A48" t="s">
        <v>62</v>
      </c>
      <c r="B48" s="9">
        <v>0.24099999999999999</v>
      </c>
      <c r="C48" s="9">
        <v>0.38666666666666666</v>
      </c>
      <c r="D48" s="9">
        <v>0.3828125</v>
      </c>
      <c r="E48" s="9">
        <v>5.3333333333333337E-2</v>
      </c>
      <c r="F48" s="13">
        <v>0</v>
      </c>
    </row>
    <row r="49" spans="1:6" x14ac:dyDescent="0.3">
      <c r="A49" t="s">
        <v>65</v>
      </c>
      <c r="B49" s="9">
        <v>1.881</v>
      </c>
      <c r="C49" s="9">
        <v>1.92</v>
      </c>
      <c r="D49" s="9">
        <v>0.53125</v>
      </c>
      <c r="E49" s="9">
        <v>0.10166666666666667</v>
      </c>
      <c r="F49" s="13">
        <v>2</v>
      </c>
    </row>
    <row r="50" spans="1:6" x14ac:dyDescent="0.3">
      <c r="A50" t="s">
        <v>63</v>
      </c>
      <c r="B50" s="9">
        <v>0.61499999999999999</v>
      </c>
      <c r="C50" s="9">
        <v>0.72</v>
      </c>
      <c r="D50" s="9">
        <v>0.94531249999999989</v>
      </c>
      <c r="E50" s="9">
        <v>0.81</v>
      </c>
      <c r="F50" s="13">
        <v>0</v>
      </c>
    </row>
    <row r="51" spans="1:6" x14ac:dyDescent="0.3">
      <c r="A51" t="s">
        <v>64</v>
      </c>
      <c r="B51" s="9">
        <v>1</v>
      </c>
      <c r="C51" s="9">
        <v>1</v>
      </c>
      <c r="D51" s="9">
        <v>1</v>
      </c>
      <c r="E51" s="9">
        <v>1</v>
      </c>
      <c r="F51" s="13">
        <v>1</v>
      </c>
    </row>
    <row r="52" spans="1:6" x14ac:dyDescent="0.3">
      <c r="A52" t="s">
        <v>68</v>
      </c>
      <c r="B52" s="9">
        <v>84.01</v>
      </c>
      <c r="C52" s="9">
        <v>19.126666666666665</v>
      </c>
      <c r="D52" s="9">
        <v>3.828125</v>
      </c>
      <c r="E52" s="9">
        <v>14.54</v>
      </c>
      <c r="F52" s="13">
        <v>14</v>
      </c>
    </row>
    <row r="53" spans="1:6" x14ac:dyDescent="0.3">
      <c r="A53" t="s">
        <v>69</v>
      </c>
      <c r="B53" s="9">
        <v>164.8</v>
      </c>
      <c r="C53" s="9">
        <v>29.973333333333333</v>
      </c>
      <c r="D53" s="9">
        <v>3.921875</v>
      </c>
      <c r="E53" s="9">
        <v>17.233333333333334</v>
      </c>
      <c r="F53" s="13">
        <v>2</v>
      </c>
    </row>
    <row r="54" spans="1:6" x14ac:dyDescent="0.3">
      <c r="A54" t="s">
        <v>67</v>
      </c>
      <c r="B54" s="9">
        <v>29.46</v>
      </c>
      <c r="C54" s="9">
        <v>9.5066666666666659</v>
      </c>
      <c r="D54" s="9">
        <v>9.390625</v>
      </c>
      <c r="E54" s="9">
        <v>95.15</v>
      </c>
      <c r="F54" s="13">
        <v>17</v>
      </c>
    </row>
    <row r="55" spans="1:6" x14ac:dyDescent="0.3">
      <c r="A55" t="s">
        <v>66</v>
      </c>
      <c r="B55" s="9">
        <v>11.86</v>
      </c>
      <c r="C55" s="9">
        <v>5.1866666666666665</v>
      </c>
      <c r="D55" s="9">
        <v>11.140624999999998</v>
      </c>
      <c r="E55" s="9">
        <v>317.83333333333331</v>
      </c>
      <c r="F55" s="13">
        <v>16</v>
      </c>
    </row>
  </sheetData>
  <sortState xmlns:xlrd2="http://schemas.microsoft.com/office/spreadsheetml/2017/richdata2" ref="A47:F55">
    <sortCondition ref="E47:E55"/>
  </sortState>
  <mergeCells count="5">
    <mergeCell ref="A2:F2"/>
    <mergeCell ref="A24:F24"/>
    <mergeCell ref="A35:F35"/>
    <mergeCell ref="A46:F46"/>
    <mergeCell ref="A13:F1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2F0DE-2139-6544-8303-4F66A3BB1A49}">
  <sheetPr filterMode="1"/>
  <dimension ref="A1:F10"/>
  <sheetViews>
    <sheetView workbookViewId="0">
      <selection activeCell="F23" sqref="F23"/>
    </sheetView>
  </sheetViews>
  <sheetFormatPr defaultColWidth="11" defaultRowHeight="15.6" x14ac:dyDescent="0.3"/>
  <sheetData>
    <row r="1" spans="1:6" ht="62.4" x14ac:dyDescent="0.3">
      <c r="A1" t="s">
        <v>61</v>
      </c>
      <c r="B1" s="28" t="s">
        <v>71</v>
      </c>
      <c r="C1" s="28" t="s">
        <v>72</v>
      </c>
      <c r="D1" s="28" t="s">
        <v>73</v>
      </c>
      <c r="E1" t="s">
        <v>74</v>
      </c>
      <c r="F1" s="28" t="s">
        <v>75</v>
      </c>
    </row>
    <row r="2" spans="1:6" hidden="1" x14ac:dyDescent="0.3">
      <c r="A2" t="s">
        <v>62</v>
      </c>
      <c r="B2" s="9">
        <v>0.24099999999999999</v>
      </c>
      <c r="C2" s="9">
        <v>0.38666666666666666</v>
      </c>
      <c r="D2" s="9">
        <v>0.3828125</v>
      </c>
      <c r="E2" s="9">
        <v>5.3333333333333337E-2</v>
      </c>
      <c r="F2" s="13">
        <v>0</v>
      </c>
    </row>
    <row r="3" spans="1:6" hidden="1" x14ac:dyDescent="0.3">
      <c r="A3" t="s">
        <v>63</v>
      </c>
      <c r="B3" s="9">
        <v>0.61499999999999999</v>
      </c>
      <c r="C3" s="9">
        <v>0.72</v>
      </c>
      <c r="D3" s="9">
        <v>0.94531249999999989</v>
      </c>
      <c r="E3" s="9">
        <v>0.81</v>
      </c>
      <c r="F3" s="13">
        <v>0</v>
      </c>
    </row>
    <row r="4" spans="1:6" x14ac:dyDescent="0.3">
      <c r="A4" t="s">
        <v>64</v>
      </c>
      <c r="B4" s="9">
        <v>1</v>
      </c>
      <c r="C4" s="9">
        <v>1</v>
      </c>
      <c r="D4" s="9">
        <v>1</v>
      </c>
      <c r="E4" s="9">
        <v>1</v>
      </c>
      <c r="F4" s="13">
        <v>1</v>
      </c>
    </row>
    <row r="5" spans="1:6" x14ac:dyDescent="0.3">
      <c r="A5" t="s">
        <v>65</v>
      </c>
      <c r="B5" s="9">
        <v>1.881</v>
      </c>
      <c r="C5" s="9">
        <v>1.92</v>
      </c>
      <c r="D5" s="9">
        <v>0.53125</v>
      </c>
      <c r="E5" s="9">
        <v>0.10166666666666667</v>
      </c>
      <c r="F5" s="13">
        <v>2</v>
      </c>
    </row>
    <row r="6" spans="1:6" hidden="1" x14ac:dyDescent="0.3">
      <c r="A6" t="s">
        <v>66</v>
      </c>
      <c r="B6" s="9">
        <v>11.86</v>
      </c>
      <c r="C6" s="9">
        <v>5.1866666666666665</v>
      </c>
      <c r="D6" s="9">
        <v>11.140624999999998</v>
      </c>
      <c r="E6" s="9">
        <v>317.83333333333331</v>
      </c>
      <c r="F6" s="13">
        <v>16</v>
      </c>
    </row>
    <row r="7" spans="1:6" hidden="1" x14ac:dyDescent="0.3">
      <c r="A7" t="s">
        <v>67</v>
      </c>
      <c r="B7" s="9">
        <v>29.46</v>
      </c>
      <c r="C7" s="9">
        <v>9.5066666666666659</v>
      </c>
      <c r="D7" s="9">
        <v>9.390625</v>
      </c>
      <c r="E7" s="9">
        <v>95.15</v>
      </c>
      <c r="F7" s="13">
        <v>17</v>
      </c>
    </row>
    <row r="8" spans="1:6" hidden="1" x14ac:dyDescent="0.3">
      <c r="A8" t="s">
        <v>68</v>
      </c>
      <c r="B8" s="9">
        <v>84.01</v>
      </c>
      <c r="C8" s="9">
        <v>19.126666666666665</v>
      </c>
      <c r="D8" s="9">
        <v>3.828125</v>
      </c>
      <c r="E8" s="9">
        <v>14.54</v>
      </c>
      <c r="F8" s="13">
        <v>14</v>
      </c>
    </row>
    <row r="9" spans="1:6" x14ac:dyDescent="0.3">
      <c r="A9" t="s">
        <v>69</v>
      </c>
      <c r="B9" s="9">
        <v>164.8</v>
      </c>
      <c r="C9" s="9">
        <v>29.973333333333333</v>
      </c>
      <c r="D9" s="9">
        <v>3.921875</v>
      </c>
      <c r="E9" s="9">
        <v>17.233333333333334</v>
      </c>
      <c r="F9" s="13">
        <v>2</v>
      </c>
    </row>
    <row r="10" spans="1:6" x14ac:dyDescent="0.3">
      <c r="A10" t="s">
        <v>70</v>
      </c>
      <c r="B10" s="9">
        <v>247.7</v>
      </c>
      <c r="C10" s="9">
        <v>39.333333333333336</v>
      </c>
      <c r="D10" s="9">
        <v>0.21874999999999997</v>
      </c>
      <c r="E10" s="9">
        <v>1.6666666666666666E-2</v>
      </c>
      <c r="F10" s="13">
        <v>1</v>
      </c>
    </row>
  </sheetData>
  <autoFilter ref="A1:F10" xr:uid="{EE82F0DE-2139-6544-8303-4F66A3BB1A49}">
    <filterColumn colId="5">
      <filters>
        <filter val="1"/>
        <filter val="2"/>
      </filters>
    </filterColumn>
  </autoFilter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4C14D-85C4-CE44-8955-24B04A4895AA}">
  <sheetPr filterMode="1"/>
  <dimension ref="A1:I23"/>
  <sheetViews>
    <sheetView zoomScale="130" zoomScaleNormal="130" workbookViewId="0">
      <selection activeCell="H20" sqref="H20"/>
    </sheetView>
  </sheetViews>
  <sheetFormatPr defaultColWidth="11" defaultRowHeight="15.6" x14ac:dyDescent="0.3"/>
  <cols>
    <col min="2" max="2" width="12.796875" customWidth="1"/>
    <col min="5" max="5" width="21.5" customWidth="1"/>
    <col min="10" max="10" width="19.69921875" customWidth="1"/>
  </cols>
  <sheetData>
    <row r="1" spans="1:9" s="32" customFormat="1" ht="43.05" customHeight="1" x14ac:dyDescent="0.3">
      <c r="A1" s="202" t="s">
        <v>90</v>
      </c>
      <c r="B1" s="202"/>
      <c r="C1" s="202"/>
      <c r="D1" s="202"/>
      <c r="E1" s="202"/>
      <c r="F1" s="202"/>
      <c r="I1" s="9"/>
    </row>
    <row r="2" spans="1:9" ht="46.8" x14ac:dyDescent="0.3">
      <c r="A2" s="30" t="s">
        <v>61</v>
      </c>
      <c r="B2" s="31" t="s">
        <v>71</v>
      </c>
      <c r="C2" s="31" t="s">
        <v>236</v>
      </c>
      <c r="D2" s="31" t="s">
        <v>72</v>
      </c>
      <c r="E2" s="30" t="s">
        <v>74</v>
      </c>
      <c r="F2" s="31" t="s">
        <v>75</v>
      </c>
    </row>
    <row r="3" spans="1:9" x14ac:dyDescent="0.3">
      <c r="B3" s="33" t="s">
        <v>89</v>
      </c>
      <c r="C3" s="33" t="s">
        <v>237</v>
      </c>
      <c r="E3" s="33"/>
      <c r="F3" s="33"/>
    </row>
    <row r="4" spans="1:9" x14ac:dyDescent="0.3">
      <c r="E4" s="33"/>
      <c r="F4" s="33"/>
    </row>
    <row r="5" spans="1:9" ht="46.8" x14ac:dyDescent="0.3">
      <c r="A5" s="28" t="s">
        <v>61</v>
      </c>
      <c r="B5" s="28" t="s">
        <v>71</v>
      </c>
      <c r="C5" s="28" t="s">
        <v>236</v>
      </c>
      <c r="D5" s="28" t="s">
        <v>239</v>
      </c>
      <c r="E5" s="28" t="s">
        <v>238</v>
      </c>
      <c r="F5" s="28" t="s">
        <v>75</v>
      </c>
    </row>
    <row r="6" spans="1:9" hidden="1" x14ac:dyDescent="0.3">
      <c r="A6" s="17" t="s">
        <v>62</v>
      </c>
      <c r="B6" s="190">
        <v>0.24099999999999999</v>
      </c>
      <c r="C6" s="190">
        <v>0.38666666666666666</v>
      </c>
      <c r="D6" s="190">
        <v>0.3828125</v>
      </c>
      <c r="E6" s="191">
        <v>5.3333333333333337E-2</v>
      </c>
      <c r="F6" s="193">
        <v>0</v>
      </c>
    </row>
    <row r="7" spans="1:9" hidden="1" x14ac:dyDescent="0.3">
      <c r="A7" t="s">
        <v>63</v>
      </c>
      <c r="B7" s="192">
        <v>0.61499999999999999</v>
      </c>
      <c r="C7" s="192">
        <v>0.72</v>
      </c>
      <c r="D7" s="192">
        <v>0.94531249999999989</v>
      </c>
      <c r="E7" s="192">
        <v>0.81</v>
      </c>
      <c r="F7" s="194">
        <v>0</v>
      </c>
    </row>
    <row r="8" spans="1:9" hidden="1" x14ac:dyDescent="0.3">
      <c r="A8" t="s">
        <v>64</v>
      </c>
      <c r="B8" s="192">
        <v>1</v>
      </c>
      <c r="C8" s="192">
        <v>1</v>
      </c>
      <c r="D8" s="192">
        <v>1</v>
      </c>
      <c r="E8" s="192">
        <v>1</v>
      </c>
      <c r="F8" s="194">
        <v>1</v>
      </c>
    </row>
    <row r="9" spans="1:9" hidden="1" x14ac:dyDescent="0.3">
      <c r="A9" t="s">
        <v>65</v>
      </c>
      <c r="B9" s="192">
        <v>1.881</v>
      </c>
      <c r="C9" s="192">
        <v>1.92</v>
      </c>
      <c r="D9" s="192">
        <v>0.53125</v>
      </c>
      <c r="E9" s="192">
        <v>0.10166666666666667</v>
      </c>
      <c r="F9" s="194">
        <v>2</v>
      </c>
    </row>
    <row r="10" spans="1:9" hidden="1" x14ac:dyDescent="0.3">
      <c r="A10" t="s">
        <v>66</v>
      </c>
      <c r="B10" s="192">
        <v>11.86</v>
      </c>
      <c r="C10" s="192">
        <v>5.1866666666666665</v>
      </c>
      <c r="D10" s="192">
        <v>11.140624999999998</v>
      </c>
      <c r="E10" s="192">
        <v>317.83333333333331</v>
      </c>
      <c r="F10" s="194">
        <v>16</v>
      </c>
    </row>
    <row r="11" spans="1:9" hidden="1" x14ac:dyDescent="0.3">
      <c r="A11" t="s">
        <v>67</v>
      </c>
      <c r="B11" s="192">
        <v>29.46</v>
      </c>
      <c r="C11" s="192">
        <v>9.5066666666666659</v>
      </c>
      <c r="D11" s="192">
        <v>9.390625</v>
      </c>
      <c r="E11" s="192">
        <v>95.15</v>
      </c>
      <c r="F11" s="194">
        <v>17</v>
      </c>
    </row>
    <row r="12" spans="1:9" hidden="1" x14ac:dyDescent="0.3">
      <c r="A12" t="s">
        <v>68</v>
      </c>
      <c r="B12" s="192">
        <v>84.01</v>
      </c>
      <c r="C12" s="192">
        <v>19.126666666666665</v>
      </c>
      <c r="D12" s="192">
        <v>3.828125</v>
      </c>
      <c r="E12" s="192">
        <v>14.54</v>
      </c>
      <c r="F12" s="194">
        <v>14</v>
      </c>
    </row>
    <row r="13" spans="1:9" hidden="1" x14ac:dyDescent="0.3">
      <c r="A13" t="s">
        <v>69</v>
      </c>
      <c r="B13" s="192">
        <v>164.8</v>
      </c>
      <c r="C13" s="192">
        <v>29.973333333333333</v>
      </c>
      <c r="D13" s="192">
        <v>3.921875</v>
      </c>
      <c r="E13" s="192">
        <v>17.233333333333334</v>
      </c>
      <c r="F13" s="194">
        <v>2</v>
      </c>
    </row>
    <row r="14" spans="1:9" hidden="1" x14ac:dyDescent="0.3">
      <c r="A14" t="s">
        <v>70</v>
      </c>
      <c r="B14" s="192">
        <v>247.7</v>
      </c>
      <c r="C14" s="192">
        <v>39.333333333333336</v>
      </c>
      <c r="D14" s="192">
        <v>0.21874999999999997</v>
      </c>
      <c r="E14" s="192">
        <v>1.6666666666666666E-2</v>
      </c>
      <c r="F14" s="194">
        <v>1</v>
      </c>
    </row>
    <row r="18" spans="2:6" x14ac:dyDescent="0.3">
      <c r="B18" s="13"/>
      <c r="C18" s="13"/>
      <c r="D18" s="13"/>
      <c r="E18" s="9"/>
      <c r="F18" s="13"/>
    </row>
    <row r="19" spans="2:6" x14ac:dyDescent="0.3">
      <c r="B19" s="13"/>
      <c r="C19" s="13"/>
      <c r="D19" s="13"/>
      <c r="E19" s="9"/>
      <c r="F19" s="13"/>
    </row>
    <row r="20" spans="2:6" x14ac:dyDescent="0.3">
      <c r="B20" s="13"/>
      <c r="C20" s="13"/>
      <c r="D20" s="13"/>
      <c r="E20" s="9"/>
      <c r="F20" s="13"/>
    </row>
    <row r="21" spans="2:6" x14ac:dyDescent="0.3">
      <c r="B21" s="13"/>
      <c r="C21" s="13"/>
      <c r="D21" s="13"/>
      <c r="E21" s="9"/>
      <c r="F21" s="13"/>
    </row>
    <row r="22" spans="2:6" x14ac:dyDescent="0.3">
      <c r="B22" s="13"/>
      <c r="C22" s="13"/>
      <c r="D22" s="13"/>
      <c r="E22" s="9"/>
      <c r="F22" s="13"/>
    </row>
    <row r="23" spans="2:6" x14ac:dyDescent="0.3">
      <c r="B23" s="13"/>
      <c r="C23" s="13"/>
      <c r="D23" s="13"/>
      <c r="E23" s="9"/>
      <c r="F23" s="13"/>
    </row>
  </sheetData>
  <mergeCells count="1">
    <mergeCell ref="A1:F1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FE050-945F-8341-8412-79ED75B648AF}">
  <dimension ref="A1:F15"/>
  <sheetViews>
    <sheetView workbookViewId="0">
      <selection activeCell="C2" sqref="C2"/>
    </sheetView>
  </sheetViews>
  <sheetFormatPr defaultColWidth="11.19921875" defaultRowHeight="15.6" x14ac:dyDescent="0.3"/>
  <cols>
    <col min="5" max="5" width="31.19921875" customWidth="1"/>
    <col min="6" max="6" width="10.796875" customWidth="1"/>
  </cols>
  <sheetData>
    <row r="1" spans="1:6" ht="66" customHeight="1" x14ac:dyDescent="0.3">
      <c r="A1" s="202" t="s">
        <v>91</v>
      </c>
      <c r="B1" s="202"/>
      <c r="C1" s="202"/>
      <c r="D1" s="202"/>
      <c r="E1" s="202"/>
      <c r="F1" s="202"/>
    </row>
    <row r="2" spans="1:6" ht="62.4" x14ac:dyDescent="0.3">
      <c r="A2" s="30" t="s">
        <v>61</v>
      </c>
      <c r="B2" s="31" t="s">
        <v>71</v>
      </c>
      <c r="C2" s="31" t="s">
        <v>240</v>
      </c>
      <c r="D2" s="31" t="s">
        <v>239</v>
      </c>
      <c r="E2" s="30" t="s">
        <v>238</v>
      </c>
      <c r="F2" s="31" t="s">
        <v>75</v>
      </c>
    </row>
    <row r="3" spans="1:6" x14ac:dyDescent="0.3">
      <c r="B3" s="33"/>
      <c r="C3" s="33"/>
      <c r="D3" t="s">
        <v>224</v>
      </c>
      <c r="E3" s="33" t="s">
        <v>222</v>
      </c>
      <c r="F3" s="33" t="s">
        <v>92</v>
      </c>
    </row>
    <row r="4" spans="1:6" x14ac:dyDescent="0.3">
      <c r="D4" t="s">
        <v>224</v>
      </c>
      <c r="E4" s="33" t="s">
        <v>96</v>
      </c>
      <c r="F4" s="33" t="s">
        <v>92</v>
      </c>
    </row>
    <row r="6" spans="1:6" ht="62.4" x14ac:dyDescent="0.3">
      <c r="A6" s="17" t="s">
        <v>61</v>
      </c>
      <c r="B6" s="17" t="s">
        <v>71</v>
      </c>
      <c r="C6" s="17" t="s">
        <v>239</v>
      </c>
      <c r="D6" s="17" t="s">
        <v>240</v>
      </c>
      <c r="E6" s="30" t="s">
        <v>238</v>
      </c>
      <c r="F6" s="17" t="s">
        <v>75</v>
      </c>
    </row>
    <row r="7" spans="1:6" x14ac:dyDescent="0.3">
      <c r="A7" t="s">
        <v>62</v>
      </c>
      <c r="B7" s="9">
        <v>0.24099999999999999</v>
      </c>
      <c r="C7" s="9">
        <v>0.38666666666666666</v>
      </c>
      <c r="D7" s="9">
        <v>0.3828125</v>
      </c>
      <c r="E7" s="9">
        <v>5.3333333333333337E-2</v>
      </c>
      <c r="F7" s="13">
        <v>0</v>
      </c>
    </row>
    <row r="8" spans="1:6" x14ac:dyDescent="0.3">
      <c r="A8" t="s">
        <v>63</v>
      </c>
      <c r="B8" s="9">
        <v>0.61499999999999999</v>
      </c>
      <c r="C8" s="9">
        <v>0.72</v>
      </c>
      <c r="D8" s="9">
        <v>0.94531249999999989</v>
      </c>
      <c r="E8" s="9">
        <v>0.81</v>
      </c>
      <c r="F8" s="13">
        <v>0</v>
      </c>
    </row>
    <row r="9" spans="1:6" x14ac:dyDescent="0.3">
      <c r="A9" t="s">
        <v>64</v>
      </c>
      <c r="B9" s="9">
        <v>1</v>
      </c>
      <c r="C9" s="9">
        <v>1</v>
      </c>
      <c r="D9" s="9">
        <v>1</v>
      </c>
      <c r="E9" s="9">
        <v>1</v>
      </c>
      <c r="F9" s="13">
        <v>1</v>
      </c>
    </row>
    <row r="10" spans="1:6" x14ac:dyDescent="0.3">
      <c r="A10" t="s">
        <v>65</v>
      </c>
      <c r="B10" s="9">
        <v>1.881</v>
      </c>
      <c r="C10" s="9">
        <v>1.92</v>
      </c>
      <c r="D10" s="9">
        <v>0.53125</v>
      </c>
      <c r="E10" s="9">
        <v>0.10166666666666667</v>
      </c>
      <c r="F10" s="13">
        <v>2</v>
      </c>
    </row>
    <row r="11" spans="1:6" x14ac:dyDescent="0.3">
      <c r="A11" t="s">
        <v>66</v>
      </c>
      <c r="B11" s="9">
        <v>11.86</v>
      </c>
      <c r="C11" s="9">
        <v>5.1866666666666665</v>
      </c>
      <c r="D11" s="9">
        <v>11.140624999999998</v>
      </c>
      <c r="E11" s="9">
        <v>317.83333333333331</v>
      </c>
      <c r="F11" s="13">
        <v>16</v>
      </c>
    </row>
    <row r="12" spans="1:6" x14ac:dyDescent="0.3">
      <c r="A12" t="s">
        <v>67</v>
      </c>
      <c r="B12" s="9">
        <v>29.46</v>
      </c>
      <c r="C12" s="9">
        <v>9.5066666666666659</v>
      </c>
      <c r="D12" s="9">
        <v>9.390625</v>
      </c>
      <c r="E12" s="9">
        <v>95.15</v>
      </c>
      <c r="F12" s="13">
        <v>17</v>
      </c>
    </row>
    <row r="13" spans="1:6" x14ac:dyDescent="0.3">
      <c r="A13" t="s">
        <v>68</v>
      </c>
      <c r="B13" s="9">
        <v>84.01</v>
      </c>
      <c r="C13" s="9">
        <v>19.126666666666665</v>
      </c>
      <c r="D13" s="9">
        <v>3.828125</v>
      </c>
      <c r="E13" s="9">
        <v>14.54</v>
      </c>
      <c r="F13" s="13">
        <v>14</v>
      </c>
    </row>
    <row r="14" spans="1:6" x14ac:dyDescent="0.3">
      <c r="A14" t="s">
        <v>69</v>
      </c>
      <c r="B14" s="9">
        <v>164.8</v>
      </c>
      <c r="C14" s="9">
        <v>29.973333333333333</v>
      </c>
      <c r="D14" s="9">
        <v>3.921875</v>
      </c>
      <c r="E14" s="9">
        <v>17.233333333333334</v>
      </c>
      <c r="F14" s="13">
        <v>2</v>
      </c>
    </row>
    <row r="15" spans="1:6" x14ac:dyDescent="0.3">
      <c r="A15" t="s">
        <v>70</v>
      </c>
      <c r="B15" s="9">
        <v>247.7</v>
      </c>
      <c r="C15" s="9">
        <v>39.333333333333336</v>
      </c>
      <c r="D15" s="9">
        <v>0.21874999999999997</v>
      </c>
      <c r="E15" s="9">
        <v>1.6666666666666666E-2</v>
      </c>
      <c r="F15" s="13">
        <v>1</v>
      </c>
    </row>
  </sheetData>
  <mergeCells count="1">
    <mergeCell ref="A1:F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6F860-7F2C-B246-A772-9F675F6768CF}">
  <sheetPr filterMode="1"/>
  <dimension ref="A1:K14"/>
  <sheetViews>
    <sheetView workbookViewId="0">
      <selection sqref="A1:F1"/>
    </sheetView>
  </sheetViews>
  <sheetFormatPr defaultColWidth="11.19921875" defaultRowHeight="15.6" x14ac:dyDescent="0.3"/>
  <sheetData>
    <row r="1" spans="1:11" x14ac:dyDescent="0.3">
      <c r="A1" s="202" t="s">
        <v>93</v>
      </c>
      <c r="B1" s="202"/>
      <c r="C1" s="202"/>
      <c r="D1" s="202"/>
      <c r="E1" s="202"/>
      <c r="F1" s="202"/>
    </row>
    <row r="2" spans="1:11" ht="62.4" x14ac:dyDescent="0.3">
      <c r="A2" s="29" t="s">
        <v>61</v>
      </c>
      <c r="B2" s="22" t="s">
        <v>71</v>
      </c>
      <c r="C2" s="22" t="s">
        <v>72</v>
      </c>
      <c r="D2" s="22" t="s">
        <v>73</v>
      </c>
      <c r="E2" s="29" t="s">
        <v>74</v>
      </c>
      <c r="F2" s="22" t="s">
        <v>75</v>
      </c>
      <c r="G2" s="22" t="s">
        <v>225</v>
      </c>
    </row>
    <row r="3" spans="1:11" x14ac:dyDescent="0.3">
      <c r="B3" s="13"/>
      <c r="C3" s="13"/>
      <c r="D3" s="13"/>
      <c r="E3" s="9"/>
      <c r="F3" s="13"/>
      <c r="G3" t="s">
        <v>226</v>
      </c>
      <c r="J3" s="9"/>
      <c r="K3" s="9"/>
    </row>
    <row r="5" spans="1:11" ht="62.4" x14ac:dyDescent="0.3">
      <c r="A5" s="29" t="s">
        <v>61</v>
      </c>
      <c r="B5" s="22" t="s">
        <v>71</v>
      </c>
      <c r="C5" s="22" t="s">
        <v>72</v>
      </c>
      <c r="D5" s="22" t="s">
        <v>73</v>
      </c>
      <c r="E5" s="29" t="s">
        <v>74</v>
      </c>
      <c r="F5" s="22" t="s">
        <v>75</v>
      </c>
      <c r="G5" s="22" t="s">
        <v>225</v>
      </c>
    </row>
    <row r="6" spans="1:11" hidden="1" x14ac:dyDescent="0.3">
      <c r="A6" t="s">
        <v>62</v>
      </c>
      <c r="B6" s="9">
        <v>0.24099999999999999</v>
      </c>
      <c r="C6" s="9">
        <v>0.38666666666666666</v>
      </c>
      <c r="D6" s="9">
        <v>0.3828125</v>
      </c>
      <c r="E6" s="9">
        <v>5.3333333333333337E-2</v>
      </c>
      <c r="F6" s="13">
        <v>0</v>
      </c>
      <c r="G6">
        <f>RANK(D6, $D$6:$D$14, 0)</f>
        <v>8</v>
      </c>
    </row>
    <row r="7" spans="1:11" hidden="1" x14ac:dyDescent="0.3">
      <c r="A7" t="s">
        <v>63</v>
      </c>
      <c r="B7" s="9">
        <v>0.61499999999999999</v>
      </c>
      <c r="C7" s="9">
        <v>0.72</v>
      </c>
      <c r="D7" s="9">
        <v>0.94531249999999989</v>
      </c>
      <c r="E7" s="9">
        <v>0.81</v>
      </c>
      <c r="F7" s="13">
        <v>0</v>
      </c>
      <c r="G7">
        <f t="shared" ref="G7:G14" si="0">RANK(D7, $D$6:$D$14, 0)</f>
        <v>6</v>
      </c>
    </row>
    <row r="8" spans="1:11" hidden="1" x14ac:dyDescent="0.3">
      <c r="A8" t="s">
        <v>64</v>
      </c>
      <c r="B8" s="9">
        <v>1</v>
      </c>
      <c r="C8" s="9">
        <v>1</v>
      </c>
      <c r="D8" s="9">
        <v>1</v>
      </c>
      <c r="E8" s="9">
        <v>1</v>
      </c>
      <c r="F8" s="13">
        <v>1</v>
      </c>
      <c r="G8">
        <f t="shared" si="0"/>
        <v>5</v>
      </c>
    </row>
    <row r="9" spans="1:11" hidden="1" x14ac:dyDescent="0.3">
      <c r="A9" t="s">
        <v>65</v>
      </c>
      <c r="B9" s="9">
        <v>1.881</v>
      </c>
      <c r="C9" s="9">
        <v>1.92</v>
      </c>
      <c r="D9" s="9">
        <v>0.53125</v>
      </c>
      <c r="E9" s="9">
        <v>0.10166666666666667</v>
      </c>
      <c r="F9" s="13">
        <v>2</v>
      </c>
      <c r="G9">
        <f t="shared" si="0"/>
        <v>7</v>
      </c>
    </row>
    <row r="10" spans="1:11" x14ac:dyDescent="0.3">
      <c r="A10" t="s">
        <v>66</v>
      </c>
      <c r="B10" s="9">
        <v>11.86</v>
      </c>
      <c r="C10" s="9">
        <v>5.1866666666666665</v>
      </c>
      <c r="D10" s="9">
        <v>11.140624999999998</v>
      </c>
      <c r="E10" s="9">
        <v>317.83333333333331</v>
      </c>
      <c r="F10" s="13">
        <v>16</v>
      </c>
      <c r="G10">
        <f t="shared" si="0"/>
        <v>1</v>
      </c>
    </row>
    <row r="11" spans="1:11" x14ac:dyDescent="0.3">
      <c r="A11" t="s">
        <v>67</v>
      </c>
      <c r="B11" s="9">
        <v>29.46</v>
      </c>
      <c r="C11" s="9">
        <v>9.5066666666666659</v>
      </c>
      <c r="D11" s="9">
        <v>9.390625</v>
      </c>
      <c r="E11" s="9">
        <v>95.15</v>
      </c>
      <c r="F11" s="13">
        <v>17</v>
      </c>
      <c r="G11">
        <f t="shared" si="0"/>
        <v>2</v>
      </c>
    </row>
    <row r="12" spans="1:11" hidden="1" x14ac:dyDescent="0.3">
      <c r="A12" t="s">
        <v>68</v>
      </c>
      <c r="B12" s="9">
        <v>84.01</v>
      </c>
      <c r="C12" s="9">
        <v>19.126666666666665</v>
      </c>
      <c r="D12" s="9">
        <v>3.828125</v>
      </c>
      <c r="E12" s="9">
        <v>14.54</v>
      </c>
      <c r="F12" s="13">
        <v>14</v>
      </c>
      <c r="G12">
        <f t="shared" si="0"/>
        <v>4</v>
      </c>
    </row>
    <row r="13" spans="1:11" x14ac:dyDescent="0.3">
      <c r="A13" t="s">
        <v>69</v>
      </c>
      <c r="B13" s="9">
        <v>164.8</v>
      </c>
      <c r="C13" s="9">
        <v>29.973333333333333</v>
      </c>
      <c r="D13" s="9">
        <v>3.921875</v>
      </c>
      <c r="E13" s="9">
        <v>17.233333333333334</v>
      </c>
      <c r="F13" s="13">
        <v>2</v>
      </c>
      <c r="G13">
        <f t="shared" si="0"/>
        <v>3</v>
      </c>
    </row>
    <row r="14" spans="1:11" hidden="1" x14ac:dyDescent="0.3">
      <c r="A14" t="s">
        <v>70</v>
      </c>
      <c r="B14" s="9">
        <v>247.7</v>
      </c>
      <c r="C14" s="9">
        <v>39.333333333333336</v>
      </c>
      <c r="D14" s="9">
        <v>0.21874999999999997</v>
      </c>
      <c r="E14" s="9">
        <v>1.6666666666666666E-2</v>
      </c>
      <c r="F14" s="13">
        <v>1</v>
      </c>
      <c r="G14">
        <f t="shared" si="0"/>
        <v>9</v>
      </c>
    </row>
  </sheetData>
  <mergeCells count="1">
    <mergeCell ref="A1:F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B6035-AA66-8241-80F7-F1A3D64E2B2C}">
  <dimension ref="A1:H53"/>
  <sheetViews>
    <sheetView zoomScaleNormal="100" workbookViewId="0">
      <selection activeCell="H9" sqref="H9"/>
    </sheetView>
  </sheetViews>
  <sheetFormatPr defaultColWidth="11" defaultRowHeight="15.6" x14ac:dyDescent="0.3"/>
  <cols>
    <col min="5" max="5" width="18.796875" customWidth="1"/>
    <col min="8" max="8" width="41" customWidth="1"/>
  </cols>
  <sheetData>
    <row r="1" spans="1:8" x14ac:dyDescent="0.3">
      <c r="A1" s="202" t="s">
        <v>221</v>
      </c>
      <c r="B1" s="202"/>
      <c r="C1" s="202"/>
      <c r="D1" s="202"/>
      <c r="E1" s="202"/>
      <c r="F1" s="202"/>
    </row>
    <row r="2" spans="1:8" ht="62.4" x14ac:dyDescent="0.3">
      <c r="A2" t="s">
        <v>61</v>
      </c>
      <c r="B2" s="28" t="s">
        <v>71</v>
      </c>
      <c r="C2" s="28" t="s">
        <v>72</v>
      </c>
      <c r="D2" s="28" t="s">
        <v>73</v>
      </c>
      <c r="E2" t="s">
        <v>74</v>
      </c>
      <c r="F2" s="28" t="s">
        <v>75</v>
      </c>
    </row>
    <row r="3" spans="1:8" x14ac:dyDescent="0.3">
      <c r="A3" t="s">
        <v>62</v>
      </c>
      <c r="B3" s="9">
        <v>0.24099999999999999</v>
      </c>
      <c r="C3" s="9">
        <v>0.38666666666666666</v>
      </c>
      <c r="D3" s="9">
        <v>0.3828125</v>
      </c>
      <c r="E3" s="9">
        <v>5.3333333333333337E-2</v>
      </c>
      <c r="F3" s="13">
        <v>0</v>
      </c>
    </row>
    <row r="4" spans="1:8" x14ac:dyDescent="0.3">
      <c r="A4" t="s">
        <v>63</v>
      </c>
      <c r="B4" s="9">
        <v>0.61499999999999999</v>
      </c>
      <c r="C4" s="9">
        <v>0.72</v>
      </c>
      <c r="D4" s="9">
        <v>0.94531249999999989</v>
      </c>
      <c r="E4" s="9">
        <v>0.81</v>
      </c>
      <c r="F4" s="13">
        <v>0</v>
      </c>
      <c r="H4" s="9"/>
    </row>
    <row r="5" spans="1:8" x14ac:dyDescent="0.3">
      <c r="A5" t="s">
        <v>64</v>
      </c>
      <c r="B5" s="9">
        <v>1</v>
      </c>
      <c r="C5" s="9">
        <v>1</v>
      </c>
      <c r="D5" s="9">
        <v>1</v>
      </c>
      <c r="E5" s="9">
        <v>1</v>
      </c>
      <c r="F5" s="13">
        <v>1</v>
      </c>
    </row>
    <row r="6" spans="1:8" x14ac:dyDescent="0.3">
      <c r="A6" t="s">
        <v>65</v>
      </c>
      <c r="B6" s="9">
        <v>1.881</v>
      </c>
      <c r="C6" s="9">
        <v>1.92</v>
      </c>
      <c r="D6" s="9">
        <v>0.53125</v>
      </c>
      <c r="E6" s="9">
        <v>0.10166666666666667</v>
      </c>
      <c r="F6" s="13">
        <v>2</v>
      </c>
    </row>
    <row r="7" spans="1:8" x14ac:dyDescent="0.3">
      <c r="A7" t="s">
        <v>66</v>
      </c>
      <c r="B7" s="9">
        <v>11.86</v>
      </c>
      <c r="C7" s="9">
        <v>5.1866666666666665</v>
      </c>
      <c r="D7" s="9">
        <v>11.140624999999998</v>
      </c>
      <c r="E7" s="9">
        <v>317.83333333333331</v>
      </c>
      <c r="F7" s="13">
        <v>16</v>
      </c>
    </row>
    <row r="8" spans="1:8" x14ac:dyDescent="0.3">
      <c r="A8" t="s">
        <v>67</v>
      </c>
      <c r="B8" s="9">
        <v>29.46</v>
      </c>
      <c r="C8" s="9">
        <v>9.5066666666666659</v>
      </c>
      <c r="D8" s="9">
        <v>9.390625</v>
      </c>
      <c r="E8" s="9">
        <v>95.15</v>
      </c>
      <c r="F8" s="13">
        <v>17</v>
      </c>
    </row>
    <row r="9" spans="1:8" x14ac:dyDescent="0.3">
      <c r="A9" t="s">
        <v>68</v>
      </c>
      <c r="B9" s="9">
        <v>84.01</v>
      </c>
      <c r="C9" s="9">
        <v>19.126666666666665</v>
      </c>
      <c r="D9" s="9">
        <v>3.828125</v>
      </c>
      <c r="E9" s="9">
        <v>14.54</v>
      </c>
      <c r="F9" s="13">
        <v>14</v>
      </c>
    </row>
    <row r="10" spans="1:8" x14ac:dyDescent="0.3">
      <c r="A10" t="s">
        <v>69</v>
      </c>
      <c r="B10" s="9">
        <v>164.8</v>
      </c>
      <c r="C10" s="9">
        <v>29.973333333333333</v>
      </c>
      <c r="D10" s="9">
        <v>3.921875</v>
      </c>
      <c r="E10" s="9">
        <v>17.233333333333334</v>
      </c>
      <c r="F10" s="13">
        <v>2</v>
      </c>
    </row>
    <row r="11" spans="1:8" x14ac:dyDescent="0.3">
      <c r="A11" t="s">
        <v>70</v>
      </c>
      <c r="B11" s="9">
        <v>247.7</v>
      </c>
      <c r="C11" s="9">
        <v>39.333333333333336</v>
      </c>
      <c r="D11" s="9">
        <v>0.21874999999999997</v>
      </c>
      <c r="E11" s="9">
        <v>1.6666666666666666E-2</v>
      </c>
      <c r="F11" s="13">
        <v>1</v>
      </c>
    </row>
    <row r="12" spans="1:8" ht="16.2" thickBot="1" x14ac:dyDescent="0.35"/>
    <row r="13" spans="1:8" ht="36" customHeight="1" x14ac:dyDescent="0.3">
      <c r="A13" s="206" t="s">
        <v>94</v>
      </c>
      <c r="B13" s="207"/>
      <c r="C13" s="207"/>
      <c r="D13" s="207"/>
      <c r="E13" s="207"/>
      <c r="F13" s="208"/>
    </row>
    <row r="14" spans="1:8" ht="62.4" x14ac:dyDescent="0.3">
      <c r="A14" s="179" t="s">
        <v>61</v>
      </c>
      <c r="B14" s="175" t="s">
        <v>71</v>
      </c>
      <c r="C14" s="175" t="s">
        <v>72</v>
      </c>
      <c r="D14" s="175" t="s">
        <v>73</v>
      </c>
      <c r="E14" s="174" t="s">
        <v>74</v>
      </c>
      <c r="F14" s="180" t="s">
        <v>75</v>
      </c>
    </row>
    <row r="15" spans="1:8" x14ac:dyDescent="0.3">
      <c r="A15" s="179"/>
      <c r="B15" s="176" t="s">
        <v>95</v>
      </c>
      <c r="C15" s="174"/>
      <c r="D15" s="174"/>
      <c r="E15" s="174"/>
      <c r="F15" s="181" t="s">
        <v>97</v>
      </c>
    </row>
    <row r="16" spans="1:8" x14ac:dyDescent="0.3">
      <c r="A16" s="179"/>
      <c r="B16" s="176" t="s">
        <v>96</v>
      </c>
      <c r="C16" s="174"/>
      <c r="D16" s="174"/>
      <c r="E16" s="174"/>
      <c r="F16" s="181" t="s">
        <v>97</v>
      </c>
    </row>
    <row r="17" spans="1:6" x14ac:dyDescent="0.3">
      <c r="A17" s="187"/>
      <c r="B17" s="157"/>
      <c r="C17" s="157"/>
      <c r="D17" s="157"/>
      <c r="E17" s="157"/>
      <c r="F17" s="188"/>
    </row>
    <row r="18" spans="1:6" x14ac:dyDescent="0.3">
      <c r="A18" s="203" t="s">
        <v>98</v>
      </c>
      <c r="B18" s="204"/>
      <c r="C18" s="204"/>
      <c r="D18" s="204"/>
      <c r="E18" s="204"/>
      <c r="F18" s="205"/>
    </row>
    <row r="19" spans="1:6" ht="62.4" x14ac:dyDescent="0.3">
      <c r="A19" s="179" t="s">
        <v>61</v>
      </c>
      <c r="B19" s="175" t="s">
        <v>71</v>
      </c>
      <c r="C19" s="175" t="s">
        <v>72</v>
      </c>
      <c r="D19" s="175" t="s">
        <v>73</v>
      </c>
      <c r="E19" s="174" t="s">
        <v>74</v>
      </c>
      <c r="F19" s="180" t="s">
        <v>75</v>
      </c>
    </row>
    <row r="20" spans="1:6" x14ac:dyDescent="0.3">
      <c r="A20" s="179" t="s">
        <v>62</v>
      </c>
      <c r="B20" s="177">
        <v>0.24099999999999999</v>
      </c>
      <c r="C20" s="177">
        <v>0.38666666666666666</v>
      </c>
      <c r="D20" s="177">
        <v>0.3828125</v>
      </c>
      <c r="E20" s="177">
        <v>5.3333333333333337E-2</v>
      </c>
      <c r="F20" s="183">
        <v>0</v>
      </c>
    </row>
    <row r="21" spans="1:6" x14ac:dyDescent="0.3">
      <c r="A21" s="179" t="s">
        <v>63</v>
      </c>
      <c r="B21" s="177">
        <v>0.61499999999999999</v>
      </c>
      <c r="C21" s="177">
        <v>0.72</v>
      </c>
      <c r="D21" s="177">
        <v>0.94531249999999989</v>
      </c>
      <c r="E21" s="177">
        <v>0.81</v>
      </c>
      <c r="F21" s="183">
        <v>0</v>
      </c>
    </row>
    <row r="22" spans="1:6" x14ac:dyDescent="0.3">
      <c r="A22" s="179" t="s">
        <v>64</v>
      </c>
      <c r="B22" s="177">
        <v>1</v>
      </c>
      <c r="C22" s="177">
        <v>1</v>
      </c>
      <c r="D22" s="177">
        <v>1</v>
      </c>
      <c r="E22" s="177">
        <v>1</v>
      </c>
      <c r="F22" s="183">
        <v>1</v>
      </c>
    </row>
    <row r="23" spans="1:6" x14ac:dyDescent="0.3">
      <c r="A23" s="179" t="s">
        <v>65</v>
      </c>
      <c r="B23" s="177">
        <v>1.881</v>
      </c>
      <c r="C23" s="177">
        <v>1.92</v>
      </c>
      <c r="D23" s="177">
        <v>0.53125</v>
      </c>
      <c r="E23" s="177">
        <v>0.10166666666666667</v>
      </c>
      <c r="F23" s="183">
        <v>2</v>
      </c>
    </row>
    <row r="24" spans="1:6" x14ac:dyDescent="0.3">
      <c r="A24" s="179" t="s">
        <v>68</v>
      </c>
      <c r="B24" s="177">
        <v>84.01</v>
      </c>
      <c r="C24" s="177">
        <v>19.126666666666665</v>
      </c>
      <c r="D24" s="177">
        <v>3.828125</v>
      </c>
      <c r="E24" s="177">
        <v>14.54</v>
      </c>
      <c r="F24" s="183">
        <v>14</v>
      </c>
    </row>
    <row r="25" spans="1:6" x14ac:dyDescent="0.3">
      <c r="A25" s="179" t="s">
        <v>69</v>
      </c>
      <c r="B25" s="177">
        <v>164.8</v>
      </c>
      <c r="C25" s="177">
        <v>29.973333333333333</v>
      </c>
      <c r="D25" s="177">
        <v>3.921875</v>
      </c>
      <c r="E25" s="177">
        <v>17.233333333333334</v>
      </c>
      <c r="F25" s="183">
        <v>2</v>
      </c>
    </row>
    <row r="26" spans="1:6" ht="16.2" thickBot="1" x14ac:dyDescent="0.35">
      <c r="A26" s="184" t="s">
        <v>70</v>
      </c>
      <c r="B26" s="185">
        <v>247.7</v>
      </c>
      <c r="C26" s="185">
        <v>39.333333333333336</v>
      </c>
      <c r="D26" s="185">
        <v>0.21874999999999997</v>
      </c>
      <c r="E26" s="185">
        <v>1.6666666666666666E-2</v>
      </c>
      <c r="F26" s="186">
        <v>1</v>
      </c>
    </row>
    <row r="27" spans="1:6" ht="16.2" thickBot="1" x14ac:dyDescent="0.35">
      <c r="B27" s="9"/>
      <c r="C27" s="9"/>
      <c r="D27" s="9"/>
      <c r="E27" s="9"/>
      <c r="F27" s="13"/>
    </row>
    <row r="28" spans="1:6" x14ac:dyDescent="0.3">
      <c r="A28" s="206" t="s">
        <v>99</v>
      </c>
      <c r="B28" s="207"/>
      <c r="C28" s="207"/>
      <c r="D28" s="207"/>
      <c r="E28" s="207"/>
      <c r="F28" s="208"/>
    </row>
    <row r="29" spans="1:6" ht="62.4" x14ac:dyDescent="0.3">
      <c r="A29" s="179" t="s">
        <v>61</v>
      </c>
      <c r="B29" s="175" t="s">
        <v>71</v>
      </c>
      <c r="C29" s="175" t="s">
        <v>72</v>
      </c>
      <c r="D29" s="175" t="s">
        <v>73</v>
      </c>
      <c r="E29" s="174" t="s">
        <v>74</v>
      </c>
      <c r="F29" s="180" t="s">
        <v>75</v>
      </c>
    </row>
    <row r="30" spans="1:6" ht="46.05" customHeight="1" x14ac:dyDescent="0.3">
      <c r="A30" s="179"/>
      <c r="B30" s="176"/>
      <c r="C30" s="174"/>
      <c r="D30" s="176" t="s">
        <v>228</v>
      </c>
      <c r="E30" s="176"/>
      <c r="F30" s="181"/>
    </row>
    <row r="31" spans="1:6" x14ac:dyDescent="0.3">
      <c r="A31" s="179"/>
      <c r="B31" s="174"/>
      <c r="C31" s="174"/>
      <c r="D31" s="174"/>
      <c r="E31" s="174" t="s">
        <v>227</v>
      </c>
      <c r="F31" s="182"/>
    </row>
    <row r="32" spans="1:6" x14ac:dyDescent="0.3">
      <c r="A32" s="203" t="s">
        <v>98</v>
      </c>
      <c r="B32" s="204"/>
      <c r="C32" s="204"/>
      <c r="D32" s="204"/>
      <c r="E32" s="204"/>
      <c r="F32" s="205"/>
    </row>
    <row r="33" spans="1:6" ht="62.4" x14ac:dyDescent="0.3">
      <c r="A33" s="179" t="s">
        <v>61</v>
      </c>
      <c r="B33" s="175" t="s">
        <v>71</v>
      </c>
      <c r="C33" s="175" t="s">
        <v>72</v>
      </c>
      <c r="D33" s="175" t="s">
        <v>73</v>
      </c>
      <c r="E33" s="174" t="s">
        <v>74</v>
      </c>
      <c r="F33" s="180" t="s">
        <v>75</v>
      </c>
    </row>
    <row r="34" spans="1:6" x14ac:dyDescent="0.3">
      <c r="A34" s="179" t="s">
        <v>66</v>
      </c>
      <c r="B34" s="177">
        <v>11.86</v>
      </c>
      <c r="C34" s="177">
        <v>5.1866666666666665</v>
      </c>
      <c r="D34" s="177">
        <v>11.140624999999998</v>
      </c>
      <c r="E34" s="177">
        <v>317.83333333333331</v>
      </c>
      <c r="F34" s="183">
        <v>16</v>
      </c>
    </row>
    <row r="35" spans="1:6" ht="16.2" thickBot="1" x14ac:dyDescent="0.35">
      <c r="A35" s="184" t="s">
        <v>67</v>
      </c>
      <c r="B35" s="185">
        <v>29.46</v>
      </c>
      <c r="C35" s="185">
        <v>9.5066666666666659</v>
      </c>
      <c r="D35" s="185">
        <v>9.390625</v>
      </c>
      <c r="E35" s="185">
        <v>95.15</v>
      </c>
      <c r="F35" s="186">
        <v>17</v>
      </c>
    </row>
    <row r="36" spans="1:6" ht="16.2" thickBot="1" x14ac:dyDescent="0.35">
      <c r="A36" s="157"/>
      <c r="B36" s="173"/>
      <c r="C36" s="173"/>
      <c r="D36" s="173"/>
      <c r="E36" s="173"/>
      <c r="F36" s="149"/>
    </row>
    <row r="37" spans="1:6" ht="57" customHeight="1" x14ac:dyDescent="0.3">
      <c r="A37" s="206" t="s">
        <v>100</v>
      </c>
      <c r="B37" s="207"/>
      <c r="C37" s="207"/>
      <c r="D37" s="207"/>
      <c r="E37" s="207"/>
      <c r="F37" s="208"/>
    </row>
    <row r="38" spans="1:6" ht="62.4" x14ac:dyDescent="0.3">
      <c r="A38" s="174" t="s">
        <v>61</v>
      </c>
      <c r="B38" s="175" t="s">
        <v>71</v>
      </c>
      <c r="C38" s="175" t="s">
        <v>72</v>
      </c>
      <c r="D38" s="175" t="s">
        <v>73</v>
      </c>
      <c r="E38" s="174" t="s">
        <v>74</v>
      </c>
      <c r="F38" s="175" t="s">
        <v>75</v>
      </c>
    </row>
    <row r="39" spans="1:6" x14ac:dyDescent="0.3">
      <c r="A39" s="174"/>
      <c r="B39" s="174"/>
      <c r="C39" s="176" t="s">
        <v>223</v>
      </c>
      <c r="D39" s="174"/>
      <c r="E39" s="174"/>
      <c r="F39" s="176" t="s">
        <v>230</v>
      </c>
    </row>
    <row r="40" spans="1:6" ht="55.95" customHeight="1" x14ac:dyDescent="0.3">
      <c r="A40" s="174"/>
      <c r="B40" s="174"/>
      <c r="C40" s="176" t="s">
        <v>229</v>
      </c>
      <c r="D40" s="174"/>
      <c r="E40" s="174"/>
      <c r="F40" s="176" t="s">
        <v>231</v>
      </c>
    </row>
    <row r="41" spans="1:6" x14ac:dyDescent="0.3">
      <c r="A41" s="187"/>
      <c r="B41" s="157"/>
      <c r="C41" s="172"/>
      <c r="D41" s="157"/>
      <c r="E41" s="157"/>
      <c r="F41" s="189"/>
    </row>
    <row r="42" spans="1:6" x14ac:dyDescent="0.3">
      <c r="A42" s="203" t="s">
        <v>98</v>
      </c>
      <c r="B42" s="204"/>
      <c r="C42" s="204"/>
      <c r="D42" s="204"/>
      <c r="E42" s="204"/>
      <c r="F42" s="205"/>
    </row>
    <row r="43" spans="1:6" ht="62.4" x14ac:dyDescent="0.3">
      <c r="A43" s="174" t="s">
        <v>61</v>
      </c>
      <c r="B43" s="175" t="s">
        <v>71</v>
      </c>
      <c r="C43" s="175" t="s">
        <v>72</v>
      </c>
      <c r="D43" s="175" t="s">
        <v>73</v>
      </c>
      <c r="E43" s="174" t="s">
        <v>74</v>
      </c>
      <c r="F43" s="175" t="s">
        <v>75</v>
      </c>
    </row>
    <row r="44" spans="1:6" x14ac:dyDescent="0.3">
      <c r="A44" s="174" t="s">
        <v>63</v>
      </c>
      <c r="B44" s="177">
        <v>0.61499999999999999</v>
      </c>
      <c r="C44" s="177">
        <v>0.72</v>
      </c>
      <c r="D44" s="177">
        <v>0.94531249999999989</v>
      </c>
      <c r="E44" s="177">
        <v>0.81</v>
      </c>
      <c r="F44" s="178">
        <v>0</v>
      </c>
    </row>
    <row r="45" spans="1:6" x14ac:dyDescent="0.3">
      <c r="A45" s="174" t="s">
        <v>68</v>
      </c>
      <c r="B45" s="177">
        <v>84.01</v>
      </c>
      <c r="C45" s="177">
        <v>19.126666666666665</v>
      </c>
      <c r="D45" s="177">
        <v>3.828125</v>
      </c>
      <c r="E45" s="177">
        <v>14.54</v>
      </c>
      <c r="F45" s="178">
        <v>14</v>
      </c>
    </row>
    <row r="46" spans="1:6" x14ac:dyDescent="0.3">
      <c r="B46" s="9"/>
      <c r="C46" s="9"/>
      <c r="D46" s="9"/>
      <c r="E46" s="9"/>
      <c r="F46" s="13"/>
    </row>
    <row r="47" spans="1:6" x14ac:dyDescent="0.3">
      <c r="B47" s="9"/>
      <c r="C47" s="9"/>
      <c r="D47" s="9"/>
      <c r="E47" s="9"/>
      <c r="F47" s="13"/>
    </row>
    <row r="48" spans="1:6" x14ac:dyDescent="0.3">
      <c r="B48" s="9"/>
      <c r="C48" s="9"/>
      <c r="D48" s="9"/>
      <c r="E48" s="9"/>
      <c r="F48" s="13"/>
    </row>
    <row r="49" spans="2:6" x14ac:dyDescent="0.3">
      <c r="B49" s="9"/>
      <c r="C49" s="9"/>
      <c r="D49" s="9"/>
      <c r="E49" s="9"/>
      <c r="F49" s="13"/>
    </row>
    <row r="50" spans="2:6" x14ac:dyDescent="0.3">
      <c r="B50" s="9"/>
      <c r="C50" s="9"/>
      <c r="D50" s="9"/>
      <c r="E50" s="9"/>
      <c r="F50" s="13"/>
    </row>
    <row r="51" spans="2:6" x14ac:dyDescent="0.3">
      <c r="B51" s="13"/>
      <c r="C51" s="13"/>
      <c r="D51" s="13"/>
      <c r="E51" s="9"/>
      <c r="F51" s="13"/>
    </row>
    <row r="52" spans="2:6" x14ac:dyDescent="0.3">
      <c r="B52" s="13"/>
      <c r="C52" s="13"/>
      <c r="D52" s="13"/>
      <c r="E52" s="9"/>
      <c r="F52" s="13"/>
    </row>
    <row r="53" spans="2:6" x14ac:dyDescent="0.3">
      <c r="B53" s="13"/>
      <c r="C53" s="13"/>
      <c r="D53" s="13"/>
      <c r="E53" s="9"/>
      <c r="F53" s="13"/>
    </row>
  </sheetData>
  <mergeCells count="7">
    <mergeCell ref="A42:F42"/>
    <mergeCell ref="A13:F13"/>
    <mergeCell ref="A28:F28"/>
    <mergeCell ref="A37:F37"/>
    <mergeCell ref="A1:F1"/>
    <mergeCell ref="A18:F18"/>
    <mergeCell ref="A32:F32"/>
  </mergeCells>
  <pageMargins left="0.7" right="0.7" top="0.75" bottom="0.75" header="0.3" footer="0.3"/>
  <pageSetup paperSize="9" orientation="portrait" horizontalDpi="0" verticalDpi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8954F-DC0E-4011-B2AF-365AD44A47F7}">
  <dimension ref="A1:G12"/>
  <sheetViews>
    <sheetView workbookViewId="0">
      <selection activeCell="F18" sqref="F18"/>
    </sheetView>
  </sheetViews>
  <sheetFormatPr defaultRowHeight="15.6" x14ac:dyDescent="0.3"/>
  <cols>
    <col min="1" max="1" width="18.296875" bestFit="1" customWidth="1"/>
    <col min="3" max="3" width="8.69921875" bestFit="1" customWidth="1"/>
  </cols>
  <sheetData>
    <row r="1" spans="1:7" x14ac:dyDescent="0.3">
      <c r="A1" s="209" t="s">
        <v>84</v>
      </c>
      <c r="B1" s="209"/>
      <c r="C1" s="209"/>
      <c r="D1" s="209"/>
      <c r="E1" s="209"/>
      <c r="F1" s="209"/>
      <c r="G1" s="209"/>
    </row>
    <row r="2" spans="1:7" ht="62.4" x14ac:dyDescent="0.3">
      <c r="A2" s="54" t="s">
        <v>101</v>
      </c>
      <c r="B2" s="54" t="s">
        <v>102</v>
      </c>
      <c r="C2" s="54" t="s">
        <v>103</v>
      </c>
      <c r="D2" s="54" t="s">
        <v>104</v>
      </c>
      <c r="E2" s="54" t="s">
        <v>105</v>
      </c>
      <c r="F2" s="54" t="s">
        <v>106</v>
      </c>
      <c r="G2" s="54" t="s">
        <v>107</v>
      </c>
    </row>
    <row r="3" spans="1:7" x14ac:dyDescent="0.3">
      <c r="A3" t="s">
        <v>108</v>
      </c>
      <c r="B3" s="13">
        <v>1</v>
      </c>
      <c r="C3" s="13">
        <v>1</v>
      </c>
      <c r="D3" s="13">
        <v>1260</v>
      </c>
      <c r="E3" s="13" cm="1">
        <f t="array" ref="E3">_xlfn.IFS(C3&gt;3,0,C3=3,5,C3=2,10,C3=1,12,C3=0,14)</f>
        <v>12</v>
      </c>
      <c r="F3" s="9">
        <f>(D3*E3)/100</f>
        <v>151.19999999999999</v>
      </c>
      <c r="G3" s="9">
        <f>D3-F3</f>
        <v>1108.8</v>
      </c>
    </row>
    <row r="4" spans="1:7" x14ac:dyDescent="0.3">
      <c r="A4" t="s">
        <v>109</v>
      </c>
      <c r="B4" s="13">
        <v>3</v>
      </c>
      <c r="C4" s="13">
        <v>2</v>
      </c>
      <c r="D4" s="13">
        <v>1100</v>
      </c>
      <c r="E4" s="13" cm="1">
        <f t="array" ref="E4">_xlfn.IFS(C4&gt;3,0,C4=3,5,C4=2,10,C4=1,12,C4=0,14)</f>
        <v>10</v>
      </c>
      <c r="F4" s="9">
        <f t="shared" ref="F4:F12" si="0">(D4*E4)/100</f>
        <v>110</v>
      </c>
      <c r="G4" s="9">
        <f t="shared" ref="G4:G12" si="1">D4-F4</f>
        <v>990</v>
      </c>
    </row>
    <row r="5" spans="1:7" x14ac:dyDescent="0.3">
      <c r="A5" t="s">
        <v>110</v>
      </c>
      <c r="B5" s="13">
        <v>2</v>
      </c>
      <c r="C5" s="13">
        <v>3</v>
      </c>
      <c r="D5" s="13">
        <v>800</v>
      </c>
      <c r="E5" s="13" cm="1">
        <f t="array" ref="E5">_xlfn.IFS(C5&gt;3,0,C5=3,5,C5=2,10,C5=1,12,C5=0,14)</f>
        <v>5</v>
      </c>
      <c r="F5" s="9">
        <f t="shared" si="0"/>
        <v>40</v>
      </c>
      <c r="G5" s="9">
        <f t="shared" si="1"/>
        <v>760</v>
      </c>
    </row>
    <row r="6" spans="1:7" x14ac:dyDescent="0.3">
      <c r="A6" t="s">
        <v>111</v>
      </c>
      <c r="B6" s="13">
        <v>2</v>
      </c>
      <c r="C6" s="13">
        <v>2</v>
      </c>
      <c r="D6" s="13">
        <v>750</v>
      </c>
      <c r="E6" s="13" cm="1">
        <f t="array" ref="E6">_xlfn.IFS(C6&gt;3,0,C6=3,5,C6=2,10,C6=1,12,C6=0,14)</f>
        <v>10</v>
      </c>
      <c r="F6" s="9">
        <f t="shared" si="0"/>
        <v>75</v>
      </c>
      <c r="G6" s="9">
        <f t="shared" si="1"/>
        <v>675</v>
      </c>
    </row>
    <row r="7" spans="1:7" x14ac:dyDescent="0.3">
      <c r="A7" t="s">
        <v>112</v>
      </c>
      <c r="B7" s="13">
        <v>3</v>
      </c>
      <c r="C7" s="13">
        <v>1</v>
      </c>
      <c r="D7" s="13">
        <v>715</v>
      </c>
      <c r="E7" s="13" cm="1">
        <f t="array" ref="E7">_xlfn.IFS(C7&gt;3,0,C7=3,5,C7=2,10,C7=1,12,C7=0,14)</f>
        <v>12</v>
      </c>
      <c r="F7" s="9">
        <f t="shared" si="0"/>
        <v>85.8</v>
      </c>
      <c r="G7" s="9">
        <f t="shared" si="1"/>
        <v>629.20000000000005</v>
      </c>
    </row>
    <row r="8" spans="1:7" x14ac:dyDescent="0.3">
      <c r="A8" t="s">
        <v>113</v>
      </c>
      <c r="B8" s="13">
        <v>1</v>
      </c>
      <c r="C8" s="13">
        <v>3</v>
      </c>
      <c r="D8" s="13">
        <v>630</v>
      </c>
      <c r="E8" s="13" cm="1">
        <f t="array" ref="E8">_xlfn.IFS(C8&gt;3,0,C8=3,5,C8=2,10,C8=1,12,C8=0,14)</f>
        <v>5</v>
      </c>
      <c r="F8" s="9">
        <f t="shared" si="0"/>
        <v>31.5</v>
      </c>
      <c r="G8" s="9">
        <f t="shared" si="1"/>
        <v>598.5</v>
      </c>
    </row>
    <row r="9" spans="1:7" x14ac:dyDescent="0.3">
      <c r="A9" t="s">
        <v>114</v>
      </c>
      <c r="B9" s="13">
        <v>1</v>
      </c>
      <c r="C9" s="13">
        <v>4</v>
      </c>
      <c r="D9" s="13">
        <v>620</v>
      </c>
      <c r="E9" s="13" cm="1">
        <f t="array" ref="E9">_xlfn.IFS(C9&gt;3,0,C9=3,5,C9=2,10,C9=1,12,C9=0,14)</f>
        <v>0</v>
      </c>
      <c r="F9" s="9">
        <f t="shared" si="0"/>
        <v>0</v>
      </c>
      <c r="G9" s="9">
        <f t="shared" si="1"/>
        <v>620</v>
      </c>
    </row>
    <row r="10" spans="1:7" x14ac:dyDescent="0.3">
      <c r="A10" t="s">
        <v>115</v>
      </c>
      <c r="B10" s="13">
        <v>3</v>
      </c>
      <c r="C10" s="13">
        <v>1</v>
      </c>
      <c r="D10" s="13">
        <v>560</v>
      </c>
      <c r="E10" s="13" cm="1">
        <f t="array" ref="E10">_xlfn.IFS(C10&gt;3,0,C10=3,5,C10=2,10,C10=1,12,C10=0,14)</f>
        <v>12</v>
      </c>
      <c r="F10" s="9">
        <f t="shared" si="0"/>
        <v>67.2</v>
      </c>
      <c r="G10" s="9">
        <f t="shared" si="1"/>
        <v>492.8</v>
      </c>
    </row>
    <row r="11" spans="1:7" x14ac:dyDescent="0.3">
      <c r="A11" t="s">
        <v>116</v>
      </c>
      <c r="B11" s="13">
        <v>1</v>
      </c>
      <c r="C11" s="13">
        <v>0</v>
      </c>
      <c r="D11" s="13">
        <v>420</v>
      </c>
      <c r="E11" s="13" cm="1">
        <f t="array" ref="E11">_xlfn.IFS(C11&gt;3,0,C11=3,5,C11=2,10,C11=1,12,C11=0,14)</f>
        <v>14</v>
      </c>
      <c r="F11" s="9">
        <f t="shared" si="0"/>
        <v>58.8</v>
      </c>
      <c r="G11" s="9">
        <f t="shared" si="1"/>
        <v>361.2</v>
      </c>
    </row>
    <row r="12" spans="1:7" x14ac:dyDescent="0.3">
      <c r="A12" t="s">
        <v>117</v>
      </c>
      <c r="B12" s="13">
        <v>3</v>
      </c>
      <c r="C12" s="13">
        <v>1</v>
      </c>
      <c r="D12" s="13">
        <v>250</v>
      </c>
      <c r="E12" s="13" cm="1">
        <f t="array" ref="E12">_xlfn.IFS(C12&gt;3,0,C12=3,5,C12=2,10,C12=1,12,C12=0,14)</f>
        <v>12</v>
      </c>
      <c r="F12" s="9">
        <f t="shared" si="0"/>
        <v>30</v>
      </c>
      <c r="G12" s="9">
        <f t="shared" si="1"/>
        <v>220</v>
      </c>
    </row>
  </sheetData>
  <mergeCells count="1">
    <mergeCell ref="A1:G1"/>
  </mergeCells>
  <dataValidations count="1">
    <dataValidation type="whole" operator="greaterThan" allowBlank="1" showInputMessage="1" showErrorMessage="1" promptTitle="Ввод данных" prompt="Вводите только числа от 0" sqref="B3:D12" xr:uid="{7D85D421-C09A-4C6A-98E5-FB0C04C1AC2C}">
      <formula1>0</formula1>
    </dataValidation>
  </dataValidation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44D73-4978-432C-9F8B-DF885BDBD627}">
  <dimension ref="A1:B8"/>
  <sheetViews>
    <sheetView workbookViewId="0">
      <selection activeCell="B14" sqref="B14"/>
    </sheetView>
  </sheetViews>
  <sheetFormatPr defaultRowHeight="15.6" x14ac:dyDescent="0.3"/>
  <cols>
    <col min="1" max="1" width="22.5" bestFit="1" customWidth="1"/>
    <col min="2" max="2" width="25.3984375" bestFit="1" customWidth="1"/>
    <col min="3" max="3" width="22" bestFit="1" customWidth="1"/>
    <col min="4" max="4" width="2.8984375" bestFit="1" customWidth="1"/>
    <col min="5" max="5" width="11.3984375" bestFit="1" customWidth="1"/>
  </cols>
  <sheetData>
    <row r="1" spans="1:2" x14ac:dyDescent="0.3">
      <c r="A1" s="36" t="s">
        <v>103</v>
      </c>
      <c r="B1" s="170">
        <v>1</v>
      </c>
    </row>
    <row r="2" spans="1:2" x14ac:dyDescent="0.3">
      <c r="A2" s="36" t="s">
        <v>102</v>
      </c>
      <c r="B2" s="170">
        <v>3</v>
      </c>
    </row>
    <row r="4" spans="1:2" x14ac:dyDescent="0.3">
      <c r="A4" s="36" t="s">
        <v>233</v>
      </c>
      <c r="B4" t="s">
        <v>235</v>
      </c>
    </row>
    <row r="5" spans="1:2" x14ac:dyDescent="0.3">
      <c r="A5" s="171" t="s">
        <v>112</v>
      </c>
      <c r="B5" s="144">
        <v>1</v>
      </c>
    </row>
    <row r="6" spans="1:2" x14ac:dyDescent="0.3">
      <c r="A6" s="171" t="s">
        <v>115</v>
      </c>
      <c r="B6" s="144">
        <v>1</v>
      </c>
    </row>
    <row r="7" spans="1:2" x14ac:dyDescent="0.3">
      <c r="A7" s="171" t="s">
        <v>117</v>
      </c>
      <c r="B7" s="144">
        <v>1</v>
      </c>
    </row>
    <row r="8" spans="1:2" x14ac:dyDescent="0.3">
      <c r="A8" s="171" t="s">
        <v>234</v>
      </c>
      <c r="B8" s="144">
        <v>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817FA-183B-014F-8D1A-A5DF51DA720B}">
  <dimension ref="A1:G16"/>
  <sheetViews>
    <sheetView topLeftCell="A4" workbookViewId="0">
      <selection activeCell="L22" sqref="L22"/>
    </sheetView>
  </sheetViews>
  <sheetFormatPr defaultColWidth="11" defaultRowHeight="15.6" outlineLevelRow="2" x14ac:dyDescent="0.3"/>
  <cols>
    <col min="1" max="1" width="10.796875" customWidth="1"/>
    <col min="2" max="2" width="20.19921875" customWidth="1"/>
  </cols>
  <sheetData>
    <row r="1" spans="1:7" x14ac:dyDescent="0.3">
      <c r="A1" s="209" t="s">
        <v>84</v>
      </c>
      <c r="B1" s="209"/>
      <c r="C1" s="209"/>
      <c r="D1" s="209"/>
      <c r="E1" s="209"/>
      <c r="F1" s="209"/>
      <c r="G1" s="209"/>
    </row>
    <row r="2" spans="1:7" ht="46.8" x14ac:dyDescent="0.3">
      <c r="A2" s="22" t="s">
        <v>101</v>
      </c>
      <c r="B2" s="22" t="s">
        <v>102</v>
      </c>
      <c r="C2" s="22" t="s">
        <v>103</v>
      </c>
      <c r="D2" s="22" t="s">
        <v>104</v>
      </c>
      <c r="E2" s="22" t="s">
        <v>105</v>
      </c>
      <c r="F2" s="22" t="s">
        <v>106</v>
      </c>
      <c r="G2" s="22" t="s">
        <v>107</v>
      </c>
    </row>
    <row r="3" spans="1:7" outlineLevel="2" x14ac:dyDescent="0.3">
      <c r="A3" t="s">
        <v>116</v>
      </c>
      <c r="B3" s="13">
        <v>1</v>
      </c>
      <c r="C3" s="13">
        <v>0</v>
      </c>
      <c r="D3" s="10">
        <v>420</v>
      </c>
      <c r="E3" s="10" cm="1">
        <f t="array" ref="E3">_xlfn.IFS(C3&gt;3,0,C3=3,5,C3=2,10,C3=1,12,C3=0,14)</f>
        <v>14</v>
      </c>
      <c r="F3" s="10">
        <f>(D3*E3)/100</f>
        <v>58.8</v>
      </c>
      <c r="G3" s="10">
        <f>D3-F3</f>
        <v>361.2</v>
      </c>
    </row>
    <row r="4" spans="1:7" outlineLevel="2" x14ac:dyDescent="0.3">
      <c r="A4" t="s">
        <v>108</v>
      </c>
      <c r="B4" s="13">
        <v>1</v>
      </c>
      <c r="C4" s="13">
        <v>1</v>
      </c>
      <c r="D4" s="10">
        <v>1260</v>
      </c>
      <c r="E4" s="10" cm="1">
        <f t="array" ref="E4">_xlfn.IFS(C4&gt;3,0,C4=3,5,C4=2,10,C4=1,12,C4=0,14)</f>
        <v>12</v>
      </c>
      <c r="F4" s="10">
        <f>(D4*E4)/100</f>
        <v>151.19999999999999</v>
      </c>
      <c r="G4" s="10">
        <f>D4-F4</f>
        <v>1108.8</v>
      </c>
    </row>
    <row r="5" spans="1:7" outlineLevel="2" x14ac:dyDescent="0.3">
      <c r="A5" t="s">
        <v>113</v>
      </c>
      <c r="B5" s="13">
        <v>1</v>
      </c>
      <c r="C5" s="13">
        <v>3</v>
      </c>
      <c r="D5" s="10">
        <v>630</v>
      </c>
      <c r="E5" s="10" cm="1">
        <f t="array" ref="E5">_xlfn.IFS(C5&gt;3,0,C5=3,5,C5=2,10,C5=1,12,C5=0,14)</f>
        <v>5</v>
      </c>
      <c r="F5" s="10">
        <f>(D5*E5)/100</f>
        <v>31.5</v>
      </c>
      <c r="G5" s="10">
        <f>D5-F5</f>
        <v>598.5</v>
      </c>
    </row>
    <row r="6" spans="1:7" outlineLevel="2" x14ac:dyDescent="0.3">
      <c r="A6" t="s">
        <v>114</v>
      </c>
      <c r="B6" s="13">
        <v>1</v>
      </c>
      <c r="C6" s="13">
        <v>4</v>
      </c>
      <c r="D6" s="10">
        <v>620</v>
      </c>
      <c r="E6" s="10" cm="1">
        <f t="array" ref="E6">_xlfn.IFS(C6&gt;3,0,C6=3,5,C6=2,10,C6=1,12,C6=0,14)</f>
        <v>0</v>
      </c>
      <c r="F6" s="10">
        <f>(D6*E6)/100</f>
        <v>0</v>
      </c>
      <c r="G6" s="10">
        <f>D6-F6</f>
        <v>620</v>
      </c>
    </row>
    <row r="7" spans="1:7" outlineLevel="1" x14ac:dyDescent="0.3">
      <c r="B7" s="37" t="s">
        <v>119</v>
      </c>
      <c r="C7" s="38">
        <f>SUBTOTAL(9,C3:C6)</f>
        <v>8</v>
      </c>
      <c r="D7" s="38">
        <f>SUBTOTAL(9,D3:D6)</f>
        <v>2930</v>
      </c>
      <c r="E7" s="39"/>
      <c r="F7" s="38">
        <f>SUBTOTAL(9,F3:F6)</f>
        <v>241.5</v>
      </c>
      <c r="G7" s="38">
        <f>SUBTOTAL(9,G3:G6)</f>
        <v>2688.5</v>
      </c>
    </row>
    <row r="8" spans="1:7" outlineLevel="2" x14ac:dyDescent="0.3">
      <c r="A8" t="s">
        <v>111</v>
      </c>
      <c r="B8" s="13">
        <v>2</v>
      </c>
      <c r="C8" s="13">
        <v>2</v>
      </c>
      <c r="D8" s="10">
        <v>750</v>
      </c>
      <c r="E8" s="10" cm="1">
        <f t="array" ref="E8">_xlfn.IFS(C8&gt;3,0,C8=3,5,C8=2,10,C8=1,12,C8=0,14)</f>
        <v>10</v>
      </c>
      <c r="F8" s="10">
        <f>(D8*E8)/100</f>
        <v>75</v>
      </c>
      <c r="G8" s="10">
        <f>D8-F8</f>
        <v>675</v>
      </c>
    </row>
    <row r="9" spans="1:7" outlineLevel="2" x14ac:dyDescent="0.3">
      <c r="A9" t="s">
        <v>110</v>
      </c>
      <c r="B9" s="13">
        <v>2</v>
      </c>
      <c r="C9" s="13">
        <v>3</v>
      </c>
      <c r="D9" s="10">
        <v>800</v>
      </c>
      <c r="E9" s="10" cm="1">
        <f t="array" ref="E9">_xlfn.IFS(C9&gt;3,0,C9=3,5,C9=2,10,C9=1,12,C9=0,14)</f>
        <v>5</v>
      </c>
      <c r="F9" s="10">
        <f>(D9*E9)/100</f>
        <v>40</v>
      </c>
      <c r="G9" s="10">
        <f>D9-F9</f>
        <v>760</v>
      </c>
    </row>
    <row r="10" spans="1:7" outlineLevel="1" x14ac:dyDescent="0.3">
      <c r="B10" s="37" t="s">
        <v>121</v>
      </c>
      <c r="C10" s="38">
        <f>SUBTOTAL(9,C8:C9)</f>
        <v>5</v>
      </c>
      <c r="D10" s="38">
        <f>SUBTOTAL(9,D8:D9)</f>
        <v>1550</v>
      </c>
      <c r="E10" s="38"/>
      <c r="F10" s="38">
        <f t="shared" ref="F10:G10" si="0">SUBTOTAL(9,F8:F9)</f>
        <v>115</v>
      </c>
      <c r="G10" s="38">
        <f t="shared" si="0"/>
        <v>1435</v>
      </c>
    </row>
    <row r="11" spans="1:7" outlineLevel="2" x14ac:dyDescent="0.3">
      <c r="A11" t="s">
        <v>112</v>
      </c>
      <c r="B11" s="13">
        <v>3</v>
      </c>
      <c r="C11" s="13">
        <v>1</v>
      </c>
      <c r="D11" s="10">
        <v>715</v>
      </c>
      <c r="E11" s="10" cm="1">
        <f t="array" ref="E11">_xlfn.IFS(C11&gt;3,0,C11=3,5,C11=2,10,C11=1,12,C11=0,14)</f>
        <v>12</v>
      </c>
      <c r="F11" s="10">
        <f>(D11*E11)/100</f>
        <v>85.8</v>
      </c>
      <c r="G11" s="10">
        <f>D11-F11</f>
        <v>629.20000000000005</v>
      </c>
    </row>
    <row r="12" spans="1:7" outlineLevel="2" x14ac:dyDescent="0.3">
      <c r="A12" t="s">
        <v>115</v>
      </c>
      <c r="B12" s="13">
        <v>3</v>
      </c>
      <c r="C12" s="13">
        <v>1</v>
      </c>
      <c r="D12" s="10">
        <v>560</v>
      </c>
      <c r="E12" s="10" cm="1">
        <f t="array" ref="E12">_xlfn.IFS(C12&gt;3,0,C12=3,5,C12=2,10,C12=1,12,C12=0,14)</f>
        <v>12</v>
      </c>
      <c r="F12" s="10">
        <f>(D12*E12)/100</f>
        <v>67.2</v>
      </c>
      <c r="G12" s="10">
        <f>D12-F12</f>
        <v>492.8</v>
      </c>
    </row>
    <row r="13" spans="1:7" outlineLevel="2" x14ac:dyDescent="0.3">
      <c r="A13" t="s">
        <v>117</v>
      </c>
      <c r="B13" s="13">
        <v>3</v>
      </c>
      <c r="C13" s="13">
        <v>1</v>
      </c>
      <c r="D13" s="10">
        <v>250</v>
      </c>
      <c r="E13" s="10" cm="1">
        <f t="array" ref="E13">_xlfn.IFS(C13&gt;3,0,C13=3,5,C13=2,10,C13=1,12,C13=0,14)</f>
        <v>12</v>
      </c>
      <c r="F13" s="10">
        <f>(D13*E13)/100</f>
        <v>30</v>
      </c>
      <c r="G13" s="10">
        <f>D13-F13</f>
        <v>220</v>
      </c>
    </row>
    <row r="14" spans="1:7" outlineLevel="2" x14ac:dyDescent="0.3">
      <c r="A14" t="s">
        <v>109</v>
      </c>
      <c r="B14" s="13">
        <v>3</v>
      </c>
      <c r="C14" s="13">
        <v>2</v>
      </c>
      <c r="D14" s="10">
        <v>1100</v>
      </c>
      <c r="E14" s="10" cm="1">
        <f t="array" ref="E14">_xlfn.IFS(C14&gt;3,0,C14=3,5,C14=2,10,C14=1,12,C14=0,14)</f>
        <v>10</v>
      </c>
      <c r="F14" s="10">
        <f>(D14*E14)/100</f>
        <v>110</v>
      </c>
      <c r="G14" s="10">
        <f>D14-F14</f>
        <v>990</v>
      </c>
    </row>
    <row r="15" spans="1:7" outlineLevel="1" x14ac:dyDescent="0.3">
      <c r="B15" s="37" t="s">
        <v>120</v>
      </c>
      <c r="C15" s="38">
        <f>SUBTOTAL(9,C11:C14)</f>
        <v>5</v>
      </c>
      <c r="D15" s="38">
        <f>SUBTOTAL(9,D11:D14)</f>
        <v>2625</v>
      </c>
      <c r="E15" s="38"/>
      <c r="F15" s="38">
        <f t="shared" ref="F15:G15" si="1">SUBTOTAL(9,F11:F14)</f>
        <v>293</v>
      </c>
      <c r="G15" s="38">
        <f t="shared" si="1"/>
        <v>2332</v>
      </c>
    </row>
    <row r="16" spans="1:7" x14ac:dyDescent="0.3">
      <c r="B16" s="40" t="s">
        <v>118</v>
      </c>
      <c r="C16" s="41">
        <f>SUBTOTAL(9,C3:C14)</f>
        <v>18</v>
      </c>
      <c r="D16" s="41">
        <f>SUBTOTAL(9,D3:D14)</f>
        <v>7105</v>
      </c>
      <c r="E16" s="41"/>
      <c r="F16" s="41">
        <f t="shared" ref="F16:G16" si="2">SUBTOTAL(9,F3:F14)</f>
        <v>649.5</v>
      </c>
      <c r="G16" s="41">
        <f t="shared" si="2"/>
        <v>6455.5</v>
      </c>
    </row>
  </sheetData>
  <sortState xmlns:xlrd2="http://schemas.microsoft.com/office/spreadsheetml/2017/richdata2" ref="A3:G18">
    <sortCondition ref="B2:B18"/>
  </sortState>
  <mergeCells count="1">
    <mergeCell ref="A1:G1"/>
  </mergeCells>
  <pageMargins left="0.7" right="0.7" top="0.75" bottom="0.75" header="0.3" footer="0.3"/>
  <pageSetup paperSize="9" orientation="portrait" horizontalDpi="0" verticalDpi="0"/>
  <drawing r:id="rId1"/>
  <legacyDrawing r:id="rId2"/>
  <oleObjects>
    <mc:AlternateContent xmlns:mc="http://schemas.openxmlformats.org/markup-compatibility/2006">
      <mc:Choice Requires="x14">
        <oleObject progId="Word.Document.12" shapeId="21506" r:id="rId3">
          <objectPr defaultSize="0" autoPict="0" r:id="rId4">
            <anchor moveWithCells="1">
              <from>
                <xdr:col>8</xdr:col>
                <xdr:colOff>0</xdr:colOff>
                <xdr:row>1</xdr:row>
                <xdr:rowOff>53340</xdr:rowOff>
              </from>
              <to>
                <xdr:col>15</xdr:col>
                <xdr:colOff>167640</xdr:colOff>
                <xdr:row>8</xdr:row>
                <xdr:rowOff>15240</xdr:rowOff>
              </to>
            </anchor>
          </objectPr>
        </oleObject>
      </mc:Choice>
      <mc:Fallback>
        <oleObject progId="Word.Document.12" shapeId="21506" r:id="rId3"/>
      </mc:Fallback>
    </mc:AlternateContent>
  </oleObjec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E9F41-DF9B-D745-8FA1-2003DAC754B0}">
  <dimension ref="A1:D11"/>
  <sheetViews>
    <sheetView workbookViewId="0">
      <selection activeCell="A11" sqref="A11:C11"/>
    </sheetView>
  </sheetViews>
  <sheetFormatPr defaultColWidth="11" defaultRowHeight="15.6" x14ac:dyDescent="0.3"/>
  <cols>
    <col min="1" max="1" width="10.796875" customWidth="1"/>
  </cols>
  <sheetData>
    <row r="1" spans="1:4" ht="16.05" customHeight="1" x14ac:dyDescent="0.3">
      <c r="A1" s="211" t="s">
        <v>129</v>
      </c>
      <c r="B1" s="210" t="s">
        <v>130</v>
      </c>
      <c r="C1" s="210"/>
      <c r="D1" s="210"/>
    </row>
    <row r="2" spans="1:4" x14ac:dyDescent="0.3">
      <c r="A2" s="211"/>
      <c r="B2" t="s">
        <v>131</v>
      </c>
      <c r="C2" t="s">
        <v>123</v>
      </c>
      <c r="D2" t="s">
        <v>124</v>
      </c>
    </row>
    <row r="3" spans="1:4" x14ac:dyDescent="0.3">
      <c r="A3" s="42" t="s">
        <v>125</v>
      </c>
      <c r="B3">
        <v>350</v>
      </c>
      <c r="C3" s="9">
        <v>20</v>
      </c>
      <c r="D3" s="9">
        <f>C3*B3</f>
        <v>7000</v>
      </c>
    </row>
    <row r="4" spans="1:4" x14ac:dyDescent="0.3">
      <c r="A4" s="42" t="s">
        <v>126</v>
      </c>
      <c r="B4">
        <v>520</v>
      </c>
      <c r="C4" s="9">
        <v>35</v>
      </c>
      <c r="D4" s="9">
        <f t="shared" ref="D4:D10" si="0">C4*B4</f>
        <v>18200</v>
      </c>
    </row>
    <row r="5" spans="1:4" x14ac:dyDescent="0.3">
      <c r="A5" s="42" t="s">
        <v>132</v>
      </c>
      <c r="B5">
        <v>750</v>
      </c>
      <c r="C5" s="9">
        <v>65</v>
      </c>
      <c r="D5" s="9">
        <f t="shared" si="0"/>
        <v>48750</v>
      </c>
    </row>
    <row r="6" spans="1:4" x14ac:dyDescent="0.3">
      <c r="A6" s="42" t="s">
        <v>133</v>
      </c>
      <c r="B6">
        <v>250</v>
      </c>
      <c r="C6" s="9">
        <v>30</v>
      </c>
      <c r="D6" s="9">
        <f t="shared" si="0"/>
        <v>7500</v>
      </c>
    </row>
    <row r="7" spans="1:4" x14ac:dyDescent="0.3">
      <c r="A7" s="42" t="s">
        <v>134</v>
      </c>
      <c r="B7">
        <v>150</v>
      </c>
      <c r="C7" s="9">
        <v>15</v>
      </c>
      <c r="D7" s="9">
        <f t="shared" si="0"/>
        <v>2250</v>
      </c>
    </row>
    <row r="8" spans="1:4" x14ac:dyDescent="0.3">
      <c r="A8" s="42" t="s">
        <v>127</v>
      </c>
      <c r="B8">
        <v>400</v>
      </c>
      <c r="C8" s="9">
        <v>27</v>
      </c>
      <c r="D8" s="9">
        <f t="shared" si="0"/>
        <v>10800</v>
      </c>
    </row>
    <row r="9" spans="1:4" x14ac:dyDescent="0.3">
      <c r="A9" s="42" t="s">
        <v>128</v>
      </c>
      <c r="B9">
        <v>170</v>
      </c>
      <c r="C9" s="9">
        <v>11</v>
      </c>
      <c r="D9" s="9">
        <f t="shared" si="0"/>
        <v>1870</v>
      </c>
    </row>
    <row r="10" spans="1:4" x14ac:dyDescent="0.3">
      <c r="A10" s="42" t="s">
        <v>135</v>
      </c>
      <c r="B10">
        <v>110</v>
      </c>
      <c r="C10" s="9">
        <v>14</v>
      </c>
      <c r="D10" s="9">
        <f t="shared" si="0"/>
        <v>1540</v>
      </c>
    </row>
    <row r="11" spans="1:4" x14ac:dyDescent="0.3">
      <c r="A11" s="210" t="s">
        <v>138</v>
      </c>
      <c r="B11" s="210"/>
      <c r="C11" s="210"/>
      <c r="D11">
        <f>SUM(D3:D10)</f>
        <v>97910</v>
      </c>
    </row>
  </sheetData>
  <mergeCells count="3">
    <mergeCell ref="B1:D1"/>
    <mergeCell ref="A1:A2"/>
    <mergeCell ref="A11:C1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5DE31-26E5-EB48-BAA6-78C6E7A7BAAE}">
  <dimension ref="A1:D11"/>
  <sheetViews>
    <sheetView workbookViewId="0">
      <selection activeCell="C2" sqref="C2:D2"/>
    </sheetView>
  </sheetViews>
  <sheetFormatPr defaultColWidth="11" defaultRowHeight="15.6" x14ac:dyDescent="0.3"/>
  <cols>
    <col min="1" max="1" width="18.5" customWidth="1"/>
  </cols>
  <sheetData>
    <row r="1" spans="1:4" x14ac:dyDescent="0.3">
      <c r="A1" s="211" t="s">
        <v>129</v>
      </c>
      <c r="B1" s="210" t="s">
        <v>136</v>
      </c>
      <c r="C1" s="210"/>
      <c r="D1" s="210"/>
    </row>
    <row r="2" spans="1:4" x14ac:dyDescent="0.3">
      <c r="A2" s="211"/>
      <c r="B2" t="s">
        <v>131</v>
      </c>
      <c r="C2" t="s">
        <v>123</v>
      </c>
      <c r="D2" t="s">
        <v>124</v>
      </c>
    </row>
    <row r="3" spans="1:4" x14ac:dyDescent="0.3">
      <c r="A3" s="42" t="s">
        <v>125</v>
      </c>
      <c r="B3">
        <v>350</v>
      </c>
      <c r="C3" s="13">
        <v>20</v>
      </c>
      <c r="D3" s="13">
        <f>C3*B3</f>
        <v>7000</v>
      </c>
    </row>
    <row r="4" spans="1:4" x14ac:dyDescent="0.3">
      <c r="A4" s="42" t="s">
        <v>126</v>
      </c>
      <c r="B4">
        <v>520</v>
      </c>
      <c r="C4" s="13">
        <v>35</v>
      </c>
      <c r="D4" s="13">
        <f t="shared" ref="D4:D10" si="0">C4*B4</f>
        <v>18200</v>
      </c>
    </row>
    <row r="5" spans="1:4" x14ac:dyDescent="0.3">
      <c r="A5" s="42" t="s">
        <v>132</v>
      </c>
      <c r="B5">
        <v>750</v>
      </c>
      <c r="C5" s="13">
        <v>65</v>
      </c>
      <c r="D5" s="13">
        <f t="shared" si="0"/>
        <v>48750</v>
      </c>
    </row>
    <row r="6" spans="1:4" x14ac:dyDescent="0.3">
      <c r="A6" s="42" t="s">
        <v>133</v>
      </c>
      <c r="B6">
        <v>250</v>
      </c>
      <c r="C6" s="13">
        <v>30</v>
      </c>
      <c r="D6" s="13">
        <f t="shared" si="0"/>
        <v>7500</v>
      </c>
    </row>
    <row r="7" spans="1:4" x14ac:dyDescent="0.3">
      <c r="A7" s="42" t="s">
        <v>134</v>
      </c>
      <c r="B7">
        <v>150</v>
      </c>
      <c r="C7" s="13">
        <v>15</v>
      </c>
      <c r="D7" s="13">
        <f t="shared" si="0"/>
        <v>2250</v>
      </c>
    </row>
    <row r="8" spans="1:4" x14ac:dyDescent="0.3">
      <c r="A8" s="42" t="s">
        <v>127</v>
      </c>
      <c r="B8">
        <v>400</v>
      </c>
      <c r="C8" s="13">
        <v>27</v>
      </c>
      <c r="D8" s="13">
        <f t="shared" si="0"/>
        <v>10800</v>
      </c>
    </row>
    <row r="9" spans="1:4" x14ac:dyDescent="0.3">
      <c r="A9" s="42" t="s">
        <v>128</v>
      </c>
      <c r="B9">
        <v>170</v>
      </c>
      <c r="C9" s="13">
        <v>11</v>
      </c>
      <c r="D9" s="13">
        <f t="shared" si="0"/>
        <v>1870</v>
      </c>
    </row>
    <row r="10" spans="1:4" x14ac:dyDescent="0.3">
      <c r="A10" s="42" t="s">
        <v>135</v>
      </c>
      <c r="B10">
        <v>110</v>
      </c>
      <c r="C10" s="13">
        <v>14</v>
      </c>
      <c r="D10" s="13">
        <f t="shared" si="0"/>
        <v>1540</v>
      </c>
    </row>
    <row r="11" spans="1:4" x14ac:dyDescent="0.3">
      <c r="A11" s="210" t="s">
        <v>138</v>
      </c>
      <c r="B11" s="210"/>
      <c r="C11" s="210"/>
      <c r="D11">
        <f>SUM(D3:D10)</f>
        <v>97910</v>
      </c>
    </row>
  </sheetData>
  <mergeCells count="3">
    <mergeCell ref="B1:D1"/>
    <mergeCell ref="A1:A2"/>
    <mergeCell ref="A11:C1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5C9F6-9C8F-974D-B22A-F2720F4CEF3D}">
  <dimension ref="A1:D11"/>
  <sheetViews>
    <sheetView workbookViewId="0">
      <selection activeCell="F19" sqref="F19"/>
    </sheetView>
  </sheetViews>
  <sheetFormatPr defaultColWidth="11" defaultRowHeight="15.6" x14ac:dyDescent="0.3"/>
  <cols>
    <col min="1" max="1" width="22.5" customWidth="1"/>
  </cols>
  <sheetData>
    <row r="1" spans="1:4" x14ac:dyDescent="0.3">
      <c r="A1" s="211" t="s">
        <v>129</v>
      </c>
      <c r="B1" s="210" t="s">
        <v>137</v>
      </c>
      <c r="C1" s="210"/>
      <c r="D1" s="210"/>
    </row>
    <row r="2" spans="1:4" x14ac:dyDescent="0.3">
      <c r="A2" s="211"/>
      <c r="B2" t="s">
        <v>131</v>
      </c>
      <c r="C2" t="s">
        <v>123</v>
      </c>
      <c r="D2" t="s">
        <v>124</v>
      </c>
    </row>
    <row r="3" spans="1:4" x14ac:dyDescent="0.3">
      <c r="A3" s="42" t="s">
        <v>125</v>
      </c>
      <c r="B3">
        <v>350</v>
      </c>
      <c r="C3" s="13">
        <v>20</v>
      </c>
      <c r="D3" s="13">
        <f>C3*B3</f>
        <v>7000</v>
      </c>
    </row>
    <row r="4" spans="1:4" x14ac:dyDescent="0.3">
      <c r="A4" s="42" t="s">
        <v>126</v>
      </c>
      <c r="B4">
        <v>520</v>
      </c>
      <c r="C4" s="13">
        <v>35</v>
      </c>
      <c r="D4" s="13">
        <f t="shared" ref="D4:D10" si="0">C4*B4</f>
        <v>18200</v>
      </c>
    </row>
    <row r="5" spans="1:4" x14ac:dyDescent="0.3">
      <c r="A5" s="42" t="s">
        <v>132</v>
      </c>
      <c r="B5">
        <v>750</v>
      </c>
      <c r="C5" s="13">
        <v>65</v>
      </c>
      <c r="D5" s="13">
        <f t="shared" si="0"/>
        <v>48750</v>
      </c>
    </row>
    <row r="6" spans="1:4" x14ac:dyDescent="0.3">
      <c r="A6" s="42" t="s">
        <v>133</v>
      </c>
      <c r="B6">
        <v>250</v>
      </c>
      <c r="C6" s="13">
        <v>30</v>
      </c>
      <c r="D6" s="13">
        <f t="shared" si="0"/>
        <v>7500</v>
      </c>
    </row>
    <row r="7" spans="1:4" x14ac:dyDescent="0.3">
      <c r="A7" s="42" t="s">
        <v>134</v>
      </c>
      <c r="B7">
        <v>150</v>
      </c>
      <c r="C7" s="13">
        <v>15</v>
      </c>
      <c r="D7" s="13">
        <f t="shared" si="0"/>
        <v>2250</v>
      </c>
    </row>
    <row r="8" spans="1:4" x14ac:dyDescent="0.3">
      <c r="A8" s="42" t="s">
        <v>127</v>
      </c>
      <c r="B8">
        <v>400</v>
      </c>
      <c r="C8" s="13">
        <v>27</v>
      </c>
      <c r="D8" s="13">
        <f t="shared" si="0"/>
        <v>10800</v>
      </c>
    </row>
    <row r="9" spans="1:4" x14ac:dyDescent="0.3">
      <c r="A9" s="42" t="s">
        <v>128</v>
      </c>
      <c r="B9">
        <v>170</v>
      </c>
      <c r="C9" s="13">
        <v>11</v>
      </c>
      <c r="D9" s="13">
        <f t="shared" si="0"/>
        <v>1870</v>
      </c>
    </row>
    <row r="10" spans="1:4" x14ac:dyDescent="0.3">
      <c r="A10" s="42" t="s">
        <v>135</v>
      </c>
      <c r="B10">
        <v>110</v>
      </c>
      <c r="C10" s="13">
        <v>14</v>
      </c>
      <c r="D10" s="13">
        <f t="shared" si="0"/>
        <v>1540</v>
      </c>
    </row>
    <row r="11" spans="1:4" x14ac:dyDescent="0.3">
      <c r="A11" s="210" t="s">
        <v>138</v>
      </c>
      <c r="B11" s="210"/>
      <c r="C11" s="210"/>
      <c r="D11">
        <f>SUM(D3:D10)</f>
        <v>97910</v>
      </c>
    </row>
  </sheetData>
  <dataConsolidate>
    <dataRefs count="1">
      <dataRef name="$A$1:$A$10;'3.7.1 Формула связи. Январь'!$C$2:$D$11"/>
    </dataRefs>
  </dataConsolidate>
  <mergeCells count="3">
    <mergeCell ref="B1:D1"/>
    <mergeCell ref="A1:A2"/>
    <mergeCell ref="A11:C1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30CCF-2861-5C4A-92E2-04CB7098ABA9}">
  <dimension ref="A1:D11"/>
  <sheetViews>
    <sheetView workbookViewId="0">
      <selection sqref="A1:A10"/>
    </sheetView>
  </sheetViews>
  <sheetFormatPr defaultColWidth="11" defaultRowHeight="15.6" x14ac:dyDescent="0.3"/>
  <cols>
    <col min="1" max="1" width="15.19921875" customWidth="1"/>
  </cols>
  <sheetData>
    <row r="1" spans="1:4" ht="16.05" customHeight="1" x14ac:dyDescent="0.3">
      <c r="A1" s="211" t="s">
        <v>129</v>
      </c>
      <c r="B1" s="210" t="s">
        <v>139</v>
      </c>
      <c r="C1" s="210"/>
      <c r="D1" s="210"/>
    </row>
    <row r="2" spans="1:4" x14ac:dyDescent="0.3">
      <c r="A2" s="211"/>
      <c r="B2" t="s">
        <v>131</v>
      </c>
      <c r="C2" t="s">
        <v>123</v>
      </c>
      <c r="D2" t="s">
        <v>124</v>
      </c>
    </row>
    <row r="3" spans="1:4" x14ac:dyDescent="0.3">
      <c r="A3" s="42" t="s">
        <v>125</v>
      </c>
      <c r="B3">
        <v>350</v>
      </c>
      <c r="C3">
        <f>'3.7.1 Формула связи. Январь'!C3+'3.7.2 Формула связи. Февраль'!C3+'3.7.3 Формула связи. Март'!C3</f>
        <v>60</v>
      </c>
      <c r="D3">
        <f>'3.7.1 Формула связи. Январь'!D3+'3.7.2 Формула связи. Февраль'!D3+'3.7.3 Формула связи. Март'!D3</f>
        <v>21000</v>
      </c>
    </row>
    <row r="4" spans="1:4" x14ac:dyDescent="0.3">
      <c r="A4" s="42" t="s">
        <v>126</v>
      </c>
      <c r="B4">
        <v>520</v>
      </c>
      <c r="C4">
        <f>'3.7.1 Формула связи. Январь'!C4+'3.7.2 Формула связи. Февраль'!C4+'3.7.3 Формула связи. Март'!C4</f>
        <v>105</v>
      </c>
      <c r="D4">
        <f>'3.7.1 Формула связи. Январь'!D4+'3.7.2 Формула связи. Февраль'!D4+'3.7.3 Формула связи. Март'!D4</f>
        <v>54600</v>
      </c>
    </row>
    <row r="5" spans="1:4" x14ac:dyDescent="0.3">
      <c r="A5" s="42" t="s">
        <v>132</v>
      </c>
      <c r="B5">
        <v>750</v>
      </c>
      <c r="C5">
        <f>'3.7.1 Формула связи. Январь'!C5+'3.7.2 Формула связи. Февраль'!C5+'3.7.3 Формула связи. Март'!C5</f>
        <v>195</v>
      </c>
      <c r="D5">
        <f>'3.7.1 Формула связи. Январь'!D5+'3.7.2 Формула связи. Февраль'!D5+'3.7.3 Формула связи. Март'!D5</f>
        <v>146250</v>
      </c>
    </row>
    <row r="6" spans="1:4" x14ac:dyDescent="0.3">
      <c r="A6" s="42" t="s">
        <v>133</v>
      </c>
      <c r="B6">
        <v>250</v>
      </c>
      <c r="C6">
        <f>'3.7.1 Формула связи. Январь'!C6+'3.7.2 Формула связи. Февраль'!C6+'3.7.3 Формула связи. Март'!C6</f>
        <v>90</v>
      </c>
      <c r="D6">
        <f>'3.7.1 Формула связи. Январь'!D6+'3.7.2 Формула связи. Февраль'!D6+'3.7.3 Формула связи. Март'!D6</f>
        <v>22500</v>
      </c>
    </row>
    <row r="7" spans="1:4" x14ac:dyDescent="0.3">
      <c r="A7" s="42" t="s">
        <v>134</v>
      </c>
      <c r="B7">
        <v>150</v>
      </c>
      <c r="C7">
        <f>'3.7.1 Формула связи. Январь'!C7+'3.7.2 Формула связи. Февраль'!C7+'3.7.3 Формула связи. Март'!C7</f>
        <v>45</v>
      </c>
      <c r="D7">
        <f>'3.7.1 Формула связи. Январь'!D7+'3.7.2 Формула связи. Февраль'!D7+'3.7.3 Формула связи. Март'!D7</f>
        <v>6750</v>
      </c>
    </row>
    <row r="8" spans="1:4" x14ac:dyDescent="0.3">
      <c r="A8" s="42" t="s">
        <v>127</v>
      </c>
      <c r="B8">
        <v>400</v>
      </c>
      <c r="C8">
        <f>'3.7.1 Формула связи. Январь'!C8+'3.7.2 Формула связи. Февраль'!C8+'3.7.3 Формула связи. Март'!C8</f>
        <v>81</v>
      </c>
      <c r="D8">
        <f>'3.7.1 Формула связи. Январь'!D8+'3.7.2 Формула связи. Февраль'!D8+'3.7.3 Формула связи. Март'!D8</f>
        <v>32400</v>
      </c>
    </row>
    <row r="9" spans="1:4" x14ac:dyDescent="0.3">
      <c r="A9" s="42" t="s">
        <v>128</v>
      </c>
      <c r="B9">
        <v>170</v>
      </c>
      <c r="C9">
        <f>'3.7.1 Формула связи. Январь'!C9+'3.7.2 Формула связи. Февраль'!C9+'3.7.3 Формула связи. Март'!C9</f>
        <v>33</v>
      </c>
      <c r="D9">
        <f>'3.7.1 Формула связи. Январь'!D9+'3.7.2 Формула связи. Февраль'!D9+'3.7.3 Формула связи. Март'!D9</f>
        <v>5610</v>
      </c>
    </row>
    <row r="10" spans="1:4" x14ac:dyDescent="0.3">
      <c r="A10" s="42" t="s">
        <v>135</v>
      </c>
      <c r="B10">
        <v>110</v>
      </c>
      <c r="C10">
        <f>'3.7.1 Формула связи. Январь'!C10+'3.7.2 Формула связи. Февраль'!C10+'3.7.3 Формула связи. Март'!C10</f>
        <v>42</v>
      </c>
      <c r="D10">
        <f>'3.7.1 Формула связи. Январь'!D10+'3.7.2 Формула связи. Февраль'!D10+'3.7.3 Формула связи. Март'!D10</f>
        <v>4620</v>
      </c>
    </row>
    <row r="11" spans="1:4" x14ac:dyDescent="0.3">
      <c r="C11" t="s">
        <v>138</v>
      </c>
      <c r="D11">
        <f>SUM(D3:D10)</f>
        <v>293730</v>
      </c>
    </row>
  </sheetData>
  <mergeCells count="2">
    <mergeCell ref="A1:A2"/>
    <mergeCell ref="B1:D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17B77-0897-7545-9525-A5392D213AD2}">
  <dimension ref="A1:C38"/>
  <sheetViews>
    <sheetView topLeftCell="A26" workbookViewId="0">
      <selection activeCell="J55" sqref="J55"/>
    </sheetView>
  </sheetViews>
  <sheetFormatPr defaultColWidth="11.19921875" defaultRowHeight="15.6" outlineLevelRow="1" x14ac:dyDescent="0.3"/>
  <cols>
    <col min="1" max="1" width="30.5" customWidth="1"/>
  </cols>
  <sheetData>
    <row r="1" spans="1:3" x14ac:dyDescent="0.3">
      <c r="A1" s="210" t="s">
        <v>129</v>
      </c>
      <c r="B1" s="210" t="s">
        <v>232</v>
      </c>
      <c r="C1" s="210"/>
    </row>
    <row r="2" spans="1:3" x14ac:dyDescent="0.3">
      <c r="A2" s="210"/>
      <c r="B2" t="s">
        <v>123</v>
      </c>
      <c r="C2" t="s">
        <v>124</v>
      </c>
    </row>
    <row r="3" spans="1:3" hidden="1" outlineLevel="1" x14ac:dyDescent="0.3">
      <c r="B3" s="9">
        <f>'3.7.1 Формула связи. Январь'!$C$3</f>
        <v>20</v>
      </c>
      <c r="C3" s="9">
        <f>'3.7.1 Формула связи. Январь'!$D$3</f>
        <v>7000</v>
      </c>
    </row>
    <row r="4" spans="1:3" hidden="1" outlineLevel="1" collapsed="1" x14ac:dyDescent="0.3">
      <c r="B4" s="9">
        <f>'3.7.2 Формула связи. Февраль'!$C$3</f>
        <v>20</v>
      </c>
      <c r="C4" s="9">
        <f>'3.7.2 Формула связи. Февраль'!$D$3</f>
        <v>7000</v>
      </c>
    </row>
    <row r="5" spans="1:3" hidden="1" outlineLevel="1" collapsed="1" x14ac:dyDescent="0.3">
      <c r="B5" s="9">
        <f>'3.7.3 Формула связи. Март'!$C$3</f>
        <v>20</v>
      </c>
      <c r="C5" s="9">
        <f>'3.7.3 Формула связи. Март'!$D$3</f>
        <v>7000</v>
      </c>
    </row>
    <row r="6" spans="1:3" collapsed="1" x14ac:dyDescent="0.3">
      <c r="A6" t="s">
        <v>125</v>
      </c>
      <c r="B6" s="9">
        <f>SUM(B3:B5)</f>
        <v>60</v>
      </c>
      <c r="C6" s="9">
        <f>SUM(C3:C5)</f>
        <v>21000</v>
      </c>
    </row>
    <row r="7" spans="1:3" hidden="1" outlineLevel="1" x14ac:dyDescent="0.3">
      <c r="B7" s="9">
        <f>'3.7.1 Формула связи. Январь'!$C$4</f>
        <v>35</v>
      </c>
      <c r="C7" s="9">
        <f>'3.7.1 Формула связи. Январь'!$D$4</f>
        <v>18200</v>
      </c>
    </row>
    <row r="8" spans="1:3" hidden="1" outlineLevel="1" collapsed="1" x14ac:dyDescent="0.3">
      <c r="B8" s="9">
        <f>'3.7.2 Формула связи. Февраль'!$C$4</f>
        <v>35</v>
      </c>
      <c r="C8" s="9">
        <f>'3.7.2 Формула связи. Февраль'!$D$4</f>
        <v>18200</v>
      </c>
    </row>
    <row r="9" spans="1:3" hidden="1" outlineLevel="1" collapsed="1" x14ac:dyDescent="0.3">
      <c r="B9" s="9">
        <f>'3.7.3 Формула связи. Март'!$C$4</f>
        <v>35</v>
      </c>
      <c r="C9" s="9">
        <f>'3.7.3 Формула связи. Март'!$D$4</f>
        <v>18200</v>
      </c>
    </row>
    <row r="10" spans="1:3" collapsed="1" x14ac:dyDescent="0.3">
      <c r="A10" t="s">
        <v>126</v>
      </c>
      <c r="B10" s="9">
        <f>SUM(B7:B9)</f>
        <v>105</v>
      </c>
      <c r="C10" s="9">
        <f>SUM(C7:C9)</f>
        <v>54600</v>
      </c>
    </row>
    <row r="11" spans="1:3" hidden="1" outlineLevel="1" x14ac:dyDescent="0.3">
      <c r="B11" s="9">
        <f>'3.7.1 Формула связи. Январь'!$C$5</f>
        <v>65</v>
      </c>
      <c r="C11" s="9">
        <f>'3.7.1 Формула связи. Январь'!$D$5</f>
        <v>48750</v>
      </c>
    </row>
    <row r="12" spans="1:3" hidden="1" outlineLevel="1" collapsed="1" x14ac:dyDescent="0.3">
      <c r="B12" s="9">
        <f>'3.7.2 Формула связи. Февраль'!$C$5</f>
        <v>65</v>
      </c>
      <c r="C12" s="9">
        <f>'3.7.2 Формула связи. Февраль'!$D$5</f>
        <v>48750</v>
      </c>
    </row>
    <row r="13" spans="1:3" hidden="1" outlineLevel="1" collapsed="1" x14ac:dyDescent="0.3">
      <c r="B13" s="9">
        <f>'3.7.3 Формула связи. Март'!$C$5</f>
        <v>65</v>
      </c>
      <c r="C13" s="9">
        <f>'3.7.3 Формула связи. Март'!$D$5</f>
        <v>48750</v>
      </c>
    </row>
    <row r="14" spans="1:3" collapsed="1" x14ac:dyDescent="0.3">
      <c r="A14" t="s">
        <v>132</v>
      </c>
      <c r="B14" s="9">
        <f>SUM(B11:B13)</f>
        <v>195</v>
      </c>
      <c r="C14" s="9">
        <f>SUM(C11:C13)</f>
        <v>146250</v>
      </c>
    </row>
    <row r="15" spans="1:3" hidden="1" outlineLevel="1" x14ac:dyDescent="0.3">
      <c r="B15" s="9">
        <f>'3.7.1 Формула связи. Январь'!$C$6</f>
        <v>30</v>
      </c>
      <c r="C15" s="9">
        <f>'3.7.1 Формула связи. Январь'!$D$6</f>
        <v>7500</v>
      </c>
    </row>
    <row r="16" spans="1:3" hidden="1" outlineLevel="1" collapsed="1" x14ac:dyDescent="0.3">
      <c r="B16" s="9">
        <f>'3.7.2 Формула связи. Февраль'!$C$6</f>
        <v>30</v>
      </c>
      <c r="C16" s="9">
        <f>'3.7.2 Формула связи. Февраль'!$D$6</f>
        <v>7500</v>
      </c>
    </row>
    <row r="17" spans="1:3" hidden="1" outlineLevel="1" collapsed="1" x14ac:dyDescent="0.3">
      <c r="B17" s="9">
        <f>'3.7.3 Формула связи. Март'!$C$6</f>
        <v>30</v>
      </c>
      <c r="C17" s="9">
        <f>'3.7.3 Формула связи. Март'!$D$6</f>
        <v>7500</v>
      </c>
    </row>
    <row r="18" spans="1:3" collapsed="1" x14ac:dyDescent="0.3">
      <c r="A18" t="s">
        <v>133</v>
      </c>
      <c r="B18" s="9">
        <f>SUM(B15:B17)</f>
        <v>90</v>
      </c>
      <c r="C18" s="9">
        <f>SUM(C15:C17)</f>
        <v>22500</v>
      </c>
    </row>
    <row r="19" spans="1:3" hidden="1" outlineLevel="1" x14ac:dyDescent="0.3">
      <c r="B19" s="9">
        <f>'3.7.1 Формула связи. Январь'!$C$7</f>
        <v>15</v>
      </c>
      <c r="C19" s="9">
        <f>'3.7.1 Формула связи. Январь'!$D$7</f>
        <v>2250</v>
      </c>
    </row>
    <row r="20" spans="1:3" hidden="1" outlineLevel="1" collapsed="1" x14ac:dyDescent="0.3">
      <c r="B20" s="9">
        <f>'3.7.2 Формула связи. Февраль'!$C$7</f>
        <v>15</v>
      </c>
      <c r="C20" s="9">
        <f>'3.7.2 Формула связи. Февраль'!$D$7</f>
        <v>2250</v>
      </c>
    </row>
    <row r="21" spans="1:3" hidden="1" outlineLevel="1" collapsed="1" x14ac:dyDescent="0.3">
      <c r="B21" s="9">
        <f>'3.7.3 Формула связи. Март'!$C$7</f>
        <v>15</v>
      </c>
      <c r="C21" s="9">
        <f>'3.7.3 Формула связи. Март'!$D$7</f>
        <v>2250</v>
      </c>
    </row>
    <row r="22" spans="1:3" collapsed="1" x14ac:dyDescent="0.3">
      <c r="A22" t="s">
        <v>134</v>
      </c>
      <c r="B22" s="9">
        <f>SUM(B19:B21)</f>
        <v>45</v>
      </c>
      <c r="C22" s="9">
        <f>SUM(C19:C21)</f>
        <v>6750</v>
      </c>
    </row>
    <row r="23" spans="1:3" hidden="1" outlineLevel="1" x14ac:dyDescent="0.3">
      <c r="B23" s="9">
        <f>'3.7.1 Формула связи. Январь'!$C$8</f>
        <v>27</v>
      </c>
      <c r="C23" s="9">
        <f>'3.7.1 Формула связи. Январь'!$D$8</f>
        <v>10800</v>
      </c>
    </row>
    <row r="24" spans="1:3" hidden="1" outlineLevel="1" collapsed="1" x14ac:dyDescent="0.3">
      <c r="B24" s="9">
        <f>'3.7.2 Формула связи. Февраль'!$C$8</f>
        <v>27</v>
      </c>
      <c r="C24" s="9">
        <f>'3.7.2 Формула связи. Февраль'!$D$8</f>
        <v>10800</v>
      </c>
    </row>
    <row r="25" spans="1:3" hidden="1" outlineLevel="1" collapsed="1" x14ac:dyDescent="0.3">
      <c r="B25" s="9">
        <f>'3.7.3 Формула связи. Март'!$C$8</f>
        <v>27</v>
      </c>
      <c r="C25" s="9">
        <f>'3.7.3 Формула связи. Март'!$D$8</f>
        <v>10800</v>
      </c>
    </row>
    <row r="26" spans="1:3" collapsed="1" x14ac:dyDescent="0.3">
      <c r="A26" t="s">
        <v>127</v>
      </c>
      <c r="B26" s="9">
        <f>SUM(B23:B25)</f>
        <v>81</v>
      </c>
      <c r="C26" s="9">
        <f>SUM(C23:C25)</f>
        <v>32400</v>
      </c>
    </row>
    <row r="27" spans="1:3" hidden="1" outlineLevel="1" x14ac:dyDescent="0.3">
      <c r="B27" s="9">
        <f>'3.7.1 Формула связи. Январь'!$C$9</f>
        <v>11</v>
      </c>
      <c r="C27" s="9">
        <f>'3.7.1 Формула связи. Январь'!$D$9</f>
        <v>1870</v>
      </c>
    </row>
    <row r="28" spans="1:3" hidden="1" outlineLevel="1" collapsed="1" x14ac:dyDescent="0.3">
      <c r="B28" s="9">
        <f>'3.7.2 Формула связи. Февраль'!$C$9</f>
        <v>11</v>
      </c>
      <c r="C28" s="9">
        <f>'3.7.2 Формула связи. Февраль'!$D$9</f>
        <v>1870</v>
      </c>
    </row>
    <row r="29" spans="1:3" hidden="1" outlineLevel="1" collapsed="1" x14ac:dyDescent="0.3">
      <c r="B29" s="9">
        <f>'3.7.3 Формула связи. Март'!$C$9</f>
        <v>11</v>
      </c>
      <c r="C29" s="9">
        <f>'3.7.3 Формула связи. Март'!$D$9</f>
        <v>1870</v>
      </c>
    </row>
    <row r="30" spans="1:3" collapsed="1" x14ac:dyDescent="0.3">
      <c r="A30" t="s">
        <v>128</v>
      </c>
      <c r="B30" s="9">
        <f>SUM(B27:B29)</f>
        <v>33</v>
      </c>
      <c r="C30" s="9">
        <f>SUM(C27:C29)</f>
        <v>5610</v>
      </c>
    </row>
    <row r="31" spans="1:3" hidden="1" outlineLevel="1" x14ac:dyDescent="0.3">
      <c r="B31" s="9">
        <f>'3.7.1 Формула связи. Январь'!$C$10</f>
        <v>14</v>
      </c>
      <c r="C31" s="9">
        <f>'3.7.1 Формула связи. Январь'!$D$10</f>
        <v>1540</v>
      </c>
    </row>
    <row r="32" spans="1:3" hidden="1" outlineLevel="1" collapsed="1" x14ac:dyDescent="0.3">
      <c r="B32" s="9">
        <f>'3.7.2 Формула связи. Февраль'!$C$10</f>
        <v>14</v>
      </c>
      <c r="C32" s="9">
        <f>'3.7.2 Формула связи. Февраль'!$D$10</f>
        <v>1540</v>
      </c>
    </row>
    <row r="33" spans="1:3" hidden="1" outlineLevel="1" collapsed="1" x14ac:dyDescent="0.3">
      <c r="B33" s="9">
        <f>'3.7.3 Формула связи. Март'!$C$10</f>
        <v>14</v>
      </c>
      <c r="C33" s="9">
        <f>'3.7.3 Формула связи. Март'!$D$10</f>
        <v>1540</v>
      </c>
    </row>
    <row r="34" spans="1:3" collapsed="1" x14ac:dyDescent="0.3">
      <c r="A34" t="s">
        <v>135</v>
      </c>
      <c r="B34" s="9">
        <f>SUM(B31:B33)</f>
        <v>42</v>
      </c>
      <c r="C34" s="9">
        <f>SUM(C31:C33)</f>
        <v>4620</v>
      </c>
    </row>
    <row r="35" spans="1:3" hidden="1" outlineLevel="1" x14ac:dyDescent="0.3">
      <c r="C35">
        <f>'3.7.1 Формула связи. Январь'!$D$11</f>
        <v>97910</v>
      </c>
    </row>
    <row r="36" spans="1:3" hidden="1" outlineLevel="1" collapsed="1" x14ac:dyDescent="0.3">
      <c r="C36">
        <f>'3.7.2 Формула связи. Февраль'!$D$11</f>
        <v>97910</v>
      </c>
    </row>
    <row r="37" spans="1:3" hidden="1" outlineLevel="1" collapsed="1" x14ac:dyDescent="0.3">
      <c r="C37">
        <f>'3.7.3 Формула связи. Март'!$D$11</f>
        <v>97910</v>
      </c>
    </row>
    <row r="38" spans="1:3" collapsed="1" x14ac:dyDescent="0.3">
      <c r="A38" s="212" t="s">
        <v>138</v>
      </c>
      <c r="B38" s="212"/>
      <c r="C38">
        <f>SUM(C35:C37)</f>
        <v>293730</v>
      </c>
    </row>
  </sheetData>
  <dataConsolidate link="1">
    <dataRefs count="3">
      <dataRef ref="A1:D11" sheet="3.7.1 Формула связи. Январь"/>
      <dataRef ref="A1:D11" sheet="3.7.2 Формула связи. Февраль"/>
      <dataRef ref="A1:D11" sheet="3.7.3 Формула связи. Март"/>
    </dataRefs>
  </dataConsolidate>
  <mergeCells count="3">
    <mergeCell ref="A1:A2"/>
    <mergeCell ref="B1:C1"/>
    <mergeCell ref="A38:B38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B5F5E-AA87-B745-A7C0-7F6A12B1A456}">
  <dimension ref="A1:H22"/>
  <sheetViews>
    <sheetView workbookViewId="0">
      <selection activeCell="B14" sqref="B14"/>
    </sheetView>
  </sheetViews>
  <sheetFormatPr defaultColWidth="11" defaultRowHeight="15.6" x14ac:dyDescent="0.3"/>
  <cols>
    <col min="1" max="1" width="17.296875" customWidth="1"/>
  </cols>
  <sheetData>
    <row r="1" spans="1:8" ht="16.05" customHeight="1" x14ac:dyDescent="0.3">
      <c r="A1" s="213" t="s">
        <v>153</v>
      </c>
      <c r="B1" s="215" t="s">
        <v>152</v>
      </c>
      <c r="C1" s="216"/>
      <c r="D1" s="216"/>
      <c r="E1" s="216"/>
      <c r="F1" s="216"/>
      <c r="G1" s="216"/>
      <c r="H1" s="217"/>
    </row>
    <row r="2" spans="1:8" ht="16.05" customHeight="1" x14ac:dyDescent="0.3">
      <c r="A2" s="214"/>
      <c r="B2" s="224" t="s">
        <v>156</v>
      </c>
      <c r="C2" s="220" t="s">
        <v>155</v>
      </c>
      <c r="D2" s="220" t="s">
        <v>157</v>
      </c>
      <c r="E2" s="220" t="s">
        <v>158</v>
      </c>
      <c r="F2" s="220" t="s">
        <v>159</v>
      </c>
      <c r="G2" s="218" t="s">
        <v>140</v>
      </c>
      <c r="H2" s="219"/>
    </row>
    <row r="3" spans="1:8" x14ac:dyDescent="0.3">
      <c r="A3" s="214"/>
      <c r="B3" s="224"/>
      <c r="C3" s="220"/>
      <c r="D3" s="220"/>
      <c r="E3" s="220"/>
      <c r="F3" s="220"/>
      <c r="G3" s="220" t="s">
        <v>160</v>
      </c>
      <c r="H3" s="222" t="s">
        <v>154</v>
      </c>
    </row>
    <row r="4" spans="1:8" x14ac:dyDescent="0.3">
      <c r="A4" s="214"/>
      <c r="B4" s="225"/>
      <c r="C4" s="221"/>
      <c r="D4" s="221"/>
      <c r="E4" s="221"/>
      <c r="F4" s="221"/>
      <c r="G4" s="221"/>
      <c r="H4" s="223"/>
    </row>
    <row r="5" spans="1:8" x14ac:dyDescent="0.3">
      <c r="A5" s="155" t="s">
        <v>122</v>
      </c>
      <c r="B5" s="148">
        <v>370</v>
      </c>
      <c r="C5" s="148">
        <v>933</v>
      </c>
      <c r="D5" s="148">
        <v>943</v>
      </c>
      <c r="E5" s="148">
        <v>443</v>
      </c>
      <c r="F5" s="148">
        <v>37.200000000000003</v>
      </c>
      <c r="G5" s="149">
        <v>144</v>
      </c>
      <c r="H5" s="43">
        <v>133</v>
      </c>
    </row>
    <row r="6" spans="1:8" x14ac:dyDescent="0.3">
      <c r="A6" s="155" t="s">
        <v>141</v>
      </c>
      <c r="B6" s="148">
        <v>373</v>
      </c>
      <c r="C6" s="148">
        <v>886</v>
      </c>
      <c r="D6" s="148">
        <v>944</v>
      </c>
      <c r="E6" s="148">
        <v>433</v>
      </c>
      <c r="F6" s="148">
        <v>39</v>
      </c>
      <c r="G6" s="149">
        <v>143</v>
      </c>
      <c r="H6" s="43">
        <v>130</v>
      </c>
    </row>
    <row r="7" spans="1:8" x14ac:dyDescent="0.3">
      <c r="A7" s="155" t="s">
        <v>142</v>
      </c>
      <c r="B7" s="148">
        <v>376</v>
      </c>
      <c r="C7" s="148">
        <v>907</v>
      </c>
      <c r="D7" s="148">
        <v>947</v>
      </c>
      <c r="E7" s="148">
        <v>434</v>
      </c>
      <c r="F7" s="148">
        <v>39</v>
      </c>
      <c r="G7" s="149">
        <v>146</v>
      </c>
      <c r="H7" s="43">
        <v>138</v>
      </c>
    </row>
    <row r="8" spans="1:8" ht="55.95" customHeight="1" x14ac:dyDescent="0.3">
      <c r="A8" s="156" t="s">
        <v>162</v>
      </c>
      <c r="B8" s="151">
        <f>AVERAGE(B5:B7)</f>
        <v>373</v>
      </c>
      <c r="C8" s="151">
        <f t="shared" ref="C8:H8" si="0">AVERAGE(C5:C7)</f>
        <v>908.66666666666663</v>
      </c>
      <c r="D8" s="151">
        <f t="shared" si="0"/>
        <v>944.66666666666663</v>
      </c>
      <c r="E8" s="151">
        <f t="shared" si="0"/>
        <v>436.66666666666669</v>
      </c>
      <c r="F8" s="151">
        <f t="shared" si="0"/>
        <v>38.4</v>
      </c>
      <c r="G8" s="152">
        <f t="shared" si="0"/>
        <v>144.33333333333334</v>
      </c>
      <c r="H8" s="44">
        <f t="shared" si="0"/>
        <v>133.66666666666666</v>
      </c>
    </row>
    <row r="9" spans="1:8" ht="94.05" customHeight="1" x14ac:dyDescent="0.3">
      <c r="A9" s="166" t="s">
        <v>161</v>
      </c>
      <c r="B9" s="153">
        <f t="shared" ref="B9:H9" si="1">B8*100/$B$8</f>
        <v>100</v>
      </c>
      <c r="C9" s="153">
        <f t="shared" si="1"/>
        <v>243.61036639857014</v>
      </c>
      <c r="D9" s="153">
        <f t="shared" si="1"/>
        <v>253.26184092940122</v>
      </c>
      <c r="E9" s="153">
        <f t="shared" si="1"/>
        <v>117.06881143878464</v>
      </c>
      <c r="F9" s="153">
        <f t="shared" si="1"/>
        <v>10.294906166219839</v>
      </c>
      <c r="G9" s="153">
        <f t="shared" si="1"/>
        <v>38.695263628239502</v>
      </c>
      <c r="H9" s="154">
        <f t="shared" si="1"/>
        <v>35.835567470956207</v>
      </c>
    </row>
    <row r="22" spans="6:6" x14ac:dyDescent="0.3">
      <c r="F22" s="29"/>
    </row>
  </sheetData>
  <mergeCells count="10">
    <mergeCell ref="A1:A4"/>
    <mergeCell ref="B1:H1"/>
    <mergeCell ref="G2:H2"/>
    <mergeCell ref="F2:F4"/>
    <mergeCell ref="E2:E4"/>
    <mergeCell ref="D2:D4"/>
    <mergeCell ref="C2:C4"/>
    <mergeCell ref="G3:G4"/>
    <mergeCell ref="H3:H4"/>
    <mergeCell ref="B2:B4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100B0-2E2F-144C-824A-A8D4C72FFD99}">
  <dimension ref="A1:O14"/>
  <sheetViews>
    <sheetView workbookViewId="0">
      <selection activeCell="B9" sqref="B9"/>
    </sheetView>
  </sheetViews>
  <sheetFormatPr defaultColWidth="11" defaultRowHeight="15.6" x14ac:dyDescent="0.3"/>
  <sheetData>
    <row r="1" spans="1:15" x14ac:dyDescent="0.3">
      <c r="A1" s="226" t="s">
        <v>153</v>
      </c>
      <c r="B1" s="215" t="s">
        <v>152</v>
      </c>
      <c r="C1" s="216"/>
      <c r="D1" s="216"/>
      <c r="E1" s="216"/>
      <c r="F1" s="216"/>
      <c r="G1" s="216"/>
      <c r="H1" s="217"/>
      <c r="I1" s="157"/>
      <c r="J1" s="157"/>
      <c r="K1" s="157"/>
      <c r="L1" s="157"/>
      <c r="M1" s="157"/>
      <c r="N1" s="157"/>
      <c r="O1" s="157"/>
    </row>
    <row r="2" spans="1:15" ht="16.05" customHeight="1" x14ac:dyDescent="0.3">
      <c r="A2" s="224"/>
      <c r="B2" s="224" t="s">
        <v>156</v>
      </c>
      <c r="C2" s="220" t="s">
        <v>155</v>
      </c>
      <c r="D2" s="220" t="s">
        <v>157</v>
      </c>
      <c r="E2" s="220" t="s">
        <v>158</v>
      </c>
      <c r="F2" s="220" t="s">
        <v>159</v>
      </c>
      <c r="G2" s="218" t="s">
        <v>140</v>
      </c>
      <c r="H2" s="219"/>
      <c r="I2" s="220"/>
      <c r="J2" s="220"/>
      <c r="K2" s="220"/>
      <c r="L2" s="220"/>
      <c r="M2" s="220"/>
      <c r="N2" s="218"/>
      <c r="O2" s="218"/>
    </row>
    <row r="3" spans="1:15" x14ac:dyDescent="0.3">
      <c r="A3" s="224"/>
      <c r="B3" s="224"/>
      <c r="C3" s="220"/>
      <c r="D3" s="220"/>
      <c r="E3" s="220"/>
      <c r="F3" s="220"/>
      <c r="G3" s="220" t="s">
        <v>160</v>
      </c>
      <c r="H3" s="222" t="s">
        <v>154</v>
      </c>
      <c r="I3" s="220"/>
      <c r="J3" s="220"/>
      <c r="K3" s="220"/>
      <c r="L3" s="220"/>
      <c r="M3" s="220"/>
      <c r="N3" s="220"/>
      <c r="O3" s="220"/>
    </row>
    <row r="4" spans="1:15" x14ac:dyDescent="0.3">
      <c r="A4" s="50"/>
      <c r="B4" s="224"/>
      <c r="C4" s="220"/>
      <c r="D4" s="220"/>
      <c r="E4" s="220"/>
      <c r="F4" s="220"/>
      <c r="G4" s="220"/>
      <c r="H4" s="222"/>
      <c r="I4" s="220"/>
      <c r="J4" s="220"/>
      <c r="K4" s="220"/>
      <c r="L4" s="220"/>
      <c r="M4" s="220"/>
      <c r="N4" s="220"/>
      <c r="O4" s="220"/>
    </row>
    <row r="5" spans="1:15" x14ac:dyDescent="0.3">
      <c r="A5" s="46" t="s">
        <v>143</v>
      </c>
      <c r="B5" s="46">
        <v>371</v>
      </c>
      <c r="C5" s="157">
        <v>932</v>
      </c>
      <c r="D5" s="157">
        <v>970</v>
      </c>
      <c r="E5" s="157">
        <v>440</v>
      </c>
      <c r="F5" s="157">
        <v>39</v>
      </c>
      <c r="G5" s="157">
        <v>141</v>
      </c>
      <c r="H5" s="19">
        <v>129</v>
      </c>
      <c r="I5" s="148"/>
      <c r="J5" s="148"/>
      <c r="K5" s="148"/>
      <c r="L5" s="148"/>
      <c r="M5" s="148"/>
      <c r="N5" s="148"/>
      <c r="O5" s="148"/>
    </row>
    <row r="6" spans="1:15" x14ac:dyDescent="0.3">
      <c r="A6" s="46" t="s">
        <v>144</v>
      </c>
      <c r="B6" s="46">
        <v>372</v>
      </c>
      <c r="C6" s="157">
        <v>949</v>
      </c>
      <c r="D6" s="157">
        <v>980</v>
      </c>
      <c r="E6" s="157">
        <v>437</v>
      </c>
      <c r="F6" s="157">
        <v>39.299999999999997</v>
      </c>
      <c r="G6" s="157">
        <v>141</v>
      </c>
      <c r="H6" s="19">
        <v>136</v>
      </c>
      <c r="I6" s="148"/>
      <c r="J6" s="148"/>
      <c r="K6" s="148"/>
      <c r="L6" s="148"/>
      <c r="M6" s="148"/>
      <c r="N6" s="148"/>
      <c r="O6" s="148"/>
    </row>
    <row r="7" spans="1:15" x14ac:dyDescent="0.3">
      <c r="A7" s="46" t="s">
        <v>145</v>
      </c>
      <c r="B7" s="46">
        <v>375</v>
      </c>
      <c r="C7" s="157">
        <v>968</v>
      </c>
      <c r="D7" s="157">
        <v>984</v>
      </c>
      <c r="E7" s="157">
        <v>436</v>
      </c>
      <c r="F7" s="157">
        <v>39.299999999999997</v>
      </c>
      <c r="G7" s="157">
        <v>141</v>
      </c>
      <c r="H7" s="19">
        <v>129</v>
      </c>
      <c r="I7" s="148"/>
      <c r="J7" s="148"/>
      <c r="K7" s="148"/>
      <c r="L7" s="148"/>
      <c r="M7" s="148"/>
      <c r="N7" s="148"/>
      <c r="O7" s="148"/>
    </row>
    <row r="8" spans="1:15" ht="46.8" x14ac:dyDescent="0.3">
      <c r="A8" s="150" t="s">
        <v>162</v>
      </c>
      <c r="B8" s="45">
        <f t="shared" ref="B8:H8" si="0">AVERAGE(B5:B7)</f>
        <v>372.66666666666669</v>
      </c>
      <c r="C8" s="151">
        <f t="shared" si="0"/>
        <v>949.66666666666663</v>
      </c>
      <c r="D8" s="151">
        <f t="shared" si="0"/>
        <v>978</v>
      </c>
      <c r="E8" s="151">
        <f t="shared" si="0"/>
        <v>437.66666666666669</v>
      </c>
      <c r="F8" s="151">
        <f t="shared" si="0"/>
        <v>39.199999999999996</v>
      </c>
      <c r="G8" s="152">
        <f t="shared" si="0"/>
        <v>141</v>
      </c>
      <c r="H8" s="44">
        <f t="shared" si="0"/>
        <v>131.33333333333334</v>
      </c>
      <c r="I8" s="157"/>
      <c r="J8" s="157"/>
      <c r="K8" s="157"/>
      <c r="L8" s="157"/>
      <c r="M8" s="157"/>
      <c r="N8" s="157"/>
      <c r="O8" s="157"/>
    </row>
    <row r="9" spans="1:15" ht="109.2" x14ac:dyDescent="0.3">
      <c r="A9" s="158" t="s">
        <v>161</v>
      </c>
      <c r="B9" s="159">
        <f t="shared" ref="B9:H9" si="1">B8*100/$B$8</f>
        <v>100.00000000000001</v>
      </c>
      <c r="C9" s="160">
        <f t="shared" si="1"/>
        <v>254.83005366726292</v>
      </c>
      <c r="D9" s="160">
        <f t="shared" si="1"/>
        <v>262.43291592128799</v>
      </c>
      <c r="E9" s="160">
        <f t="shared" si="1"/>
        <v>117.44186046511629</v>
      </c>
      <c r="F9" s="160">
        <f t="shared" si="1"/>
        <v>10.518783542039355</v>
      </c>
      <c r="G9" s="160">
        <f t="shared" si="1"/>
        <v>37.835420393559929</v>
      </c>
      <c r="H9" s="161">
        <f t="shared" si="1"/>
        <v>35.241502683363152</v>
      </c>
      <c r="I9" s="157"/>
      <c r="J9" s="157"/>
      <c r="K9" s="157"/>
      <c r="L9" s="157"/>
      <c r="M9" s="157"/>
      <c r="N9" s="157"/>
      <c r="O9" s="157"/>
    </row>
    <row r="10" spans="1:15" x14ac:dyDescent="0.3">
      <c r="I10" s="157"/>
      <c r="J10" s="157"/>
      <c r="K10" s="157"/>
      <c r="L10" s="157"/>
      <c r="M10" s="157"/>
      <c r="N10" s="157"/>
      <c r="O10" s="157"/>
    </row>
    <row r="11" spans="1:15" x14ac:dyDescent="0.3">
      <c r="I11" s="157"/>
      <c r="J11" s="157"/>
      <c r="K11" s="157"/>
      <c r="L11" s="157"/>
      <c r="M11" s="157"/>
      <c r="N11" s="157"/>
      <c r="O11" s="157"/>
    </row>
    <row r="12" spans="1:15" x14ac:dyDescent="0.3">
      <c r="I12" s="157"/>
      <c r="J12" s="157"/>
      <c r="K12" s="157"/>
      <c r="L12" s="157"/>
      <c r="M12" s="157"/>
      <c r="N12" s="157"/>
      <c r="O12" s="157"/>
    </row>
    <row r="13" spans="1:15" x14ac:dyDescent="0.3">
      <c r="I13" s="157"/>
      <c r="J13" s="157"/>
      <c r="K13" s="157"/>
      <c r="L13" s="157"/>
      <c r="M13" s="157"/>
      <c r="N13" s="157"/>
      <c r="O13" s="157"/>
    </row>
    <row r="14" spans="1:15" x14ac:dyDescent="0.3">
      <c r="I14" s="157"/>
      <c r="J14" s="157"/>
      <c r="K14" s="157"/>
      <c r="L14" s="157"/>
      <c r="M14" s="157"/>
      <c r="N14" s="157"/>
      <c r="O14" s="157"/>
    </row>
  </sheetData>
  <mergeCells count="18">
    <mergeCell ref="A1:A3"/>
    <mergeCell ref="B1:H1"/>
    <mergeCell ref="B2:B4"/>
    <mergeCell ref="C2:C4"/>
    <mergeCell ref="D2:D4"/>
    <mergeCell ref="E2:E4"/>
    <mergeCell ref="F2:F4"/>
    <mergeCell ref="G2:H2"/>
    <mergeCell ref="G3:G4"/>
    <mergeCell ref="H3:H4"/>
    <mergeCell ref="N2:O2"/>
    <mergeCell ref="N3:N4"/>
    <mergeCell ref="O3:O4"/>
    <mergeCell ref="I2:I4"/>
    <mergeCell ref="J2:J4"/>
    <mergeCell ref="K2:K4"/>
    <mergeCell ref="L2:L4"/>
    <mergeCell ref="M2:M4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6F7C0-0A8B-AC41-9345-F5653150B319}">
  <dimension ref="A1:O9"/>
  <sheetViews>
    <sheetView workbookViewId="0">
      <selection activeCell="B8" sqref="B8"/>
    </sheetView>
  </sheetViews>
  <sheetFormatPr defaultColWidth="11" defaultRowHeight="15.6" x14ac:dyDescent="0.3"/>
  <sheetData>
    <row r="1" spans="1:15" x14ac:dyDescent="0.3">
      <c r="A1" s="226" t="s">
        <v>153</v>
      </c>
      <c r="B1" s="215" t="s">
        <v>152</v>
      </c>
      <c r="C1" s="216"/>
      <c r="D1" s="216"/>
      <c r="E1" s="216"/>
      <c r="F1" s="216"/>
      <c r="G1" s="216"/>
      <c r="H1" s="217"/>
      <c r="I1" s="157"/>
      <c r="J1" s="157"/>
      <c r="K1" s="157"/>
      <c r="L1" s="157"/>
      <c r="M1" s="157"/>
      <c r="N1" s="157"/>
      <c r="O1" s="157"/>
    </row>
    <row r="2" spans="1:15" ht="16.05" customHeight="1" x14ac:dyDescent="0.3">
      <c r="A2" s="224"/>
      <c r="B2" s="224" t="s">
        <v>156</v>
      </c>
      <c r="C2" s="220" t="s">
        <v>155</v>
      </c>
      <c r="D2" s="220" t="s">
        <v>157</v>
      </c>
      <c r="E2" s="220" t="s">
        <v>158</v>
      </c>
      <c r="F2" s="220" t="s">
        <v>159</v>
      </c>
      <c r="G2" s="218" t="s">
        <v>140</v>
      </c>
      <c r="H2" s="219"/>
      <c r="I2" s="228"/>
      <c r="J2" s="228"/>
      <c r="K2" s="228"/>
      <c r="L2" s="228"/>
      <c r="M2" s="228"/>
      <c r="N2" s="227"/>
      <c r="O2" s="227"/>
    </row>
    <row r="3" spans="1:15" ht="16.05" customHeight="1" x14ac:dyDescent="0.3">
      <c r="A3" s="224"/>
      <c r="B3" s="224"/>
      <c r="C3" s="220"/>
      <c r="D3" s="220"/>
      <c r="E3" s="220"/>
      <c r="F3" s="220"/>
      <c r="G3" s="220" t="s">
        <v>160</v>
      </c>
      <c r="H3" s="222" t="s">
        <v>154</v>
      </c>
      <c r="I3" s="228"/>
      <c r="J3" s="228"/>
      <c r="K3" s="228"/>
      <c r="L3" s="228"/>
      <c r="M3" s="228"/>
      <c r="N3" s="228"/>
      <c r="O3" s="228"/>
    </row>
    <row r="4" spans="1:15" x14ac:dyDescent="0.3">
      <c r="A4" s="50"/>
      <c r="B4" s="224"/>
      <c r="C4" s="220"/>
      <c r="D4" s="220"/>
      <c r="E4" s="220"/>
      <c r="F4" s="220"/>
      <c r="G4" s="220"/>
      <c r="H4" s="222"/>
      <c r="I4" s="228"/>
      <c r="J4" s="228"/>
      <c r="K4" s="228"/>
      <c r="L4" s="228"/>
      <c r="M4" s="228"/>
      <c r="N4" s="228"/>
      <c r="O4" s="228"/>
    </row>
    <row r="5" spans="1:15" x14ac:dyDescent="0.3">
      <c r="A5" s="46" t="s">
        <v>146</v>
      </c>
      <c r="B5" s="46">
        <v>375</v>
      </c>
      <c r="C5" s="157">
        <v>968</v>
      </c>
      <c r="D5" s="157">
        <v>981</v>
      </c>
      <c r="E5" s="157">
        <v>441</v>
      </c>
      <c r="F5" s="157">
        <v>39.5</v>
      </c>
      <c r="G5" s="157">
        <v>139</v>
      </c>
      <c r="H5" s="19">
        <v>127</v>
      </c>
      <c r="I5" s="162"/>
      <c r="J5" s="162"/>
      <c r="K5" s="162"/>
      <c r="L5" s="162"/>
      <c r="M5" s="162"/>
      <c r="N5" s="162"/>
      <c r="O5" s="162"/>
    </row>
    <row r="6" spans="1:15" x14ac:dyDescent="0.3">
      <c r="A6" s="46" t="s">
        <v>147</v>
      </c>
      <c r="B6" s="46">
        <v>375</v>
      </c>
      <c r="C6" s="157">
        <v>978</v>
      </c>
      <c r="D6" s="157">
        <v>981</v>
      </c>
      <c r="E6" s="157">
        <v>440</v>
      </c>
      <c r="F6" s="157">
        <v>39.6</v>
      </c>
      <c r="G6" s="157">
        <v>137</v>
      </c>
      <c r="H6" s="19">
        <v>128</v>
      </c>
      <c r="I6" s="162"/>
      <c r="J6" s="162"/>
      <c r="K6" s="162"/>
      <c r="L6" s="162"/>
      <c r="M6" s="162"/>
      <c r="N6" s="162"/>
      <c r="O6" s="162"/>
    </row>
    <row r="7" spans="1:15" x14ac:dyDescent="0.3">
      <c r="A7" s="46" t="s">
        <v>148</v>
      </c>
      <c r="B7" s="46">
        <v>376</v>
      </c>
      <c r="C7" s="157">
        <v>1011</v>
      </c>
      <c r="D7" s="157">
        <v>1013</v>
      </c>
      <c r="E7" s="157">
        <v>440</v>
      </c>
      <c r="F7" s="157">
        <v>39.4</v>
      </c>
      <c r="G7" s="157">
        <v>138</v>
      </c>
      <c r="H7" s="19">
        <v>124</v>
      </c>
      <c r="I7" s="162"/>
      <c r="J7" s="162"/>
      <c r="K7" s="162"/>
      <c r="L7" s="162"/>
      <c r="M7" s="162"/>
      <c r="N7" s="162"/>
      <c r="O7" s="162"/>
    </row>
    <row r="8" spans="1:15" ht="46.8" x14ac:dyDescent="0.3">
      <c r="A8" s="150" t="s">
        <v>162</v>
      </c>
      <c r="B8" s="45">
        <f t="shared" ref="B8:H8" si="0">AVERAGE(B5:B7)</f>
        <v>375.33333333333331</v>
      </c>
      <c r="C8" s="151">
        <f t="shared" si="0"/>
        <v>985.66666666666663</v>
      </c>
      <c r="D8" s="151">
        <f t="shared" si="0"/>
        <v>991.66666666666663</v>
      </c>
      <c r="E8" s="151">
        <f t="shared" si="0"/>
        <v>440.33333333333331</v>
      </c>
      <c r="F8" s="151">
        <f t="shared" si="0"/>
        <v>39.5</v>
      </c>
      <c r="G8" s="152">
        <f t="shared" si="0"/>
        <v>138</v>
      </c>
      <c r="H8" s="44">
        <f t="shared" si="0"/>
        <v>126.33333333333333</v>
      </c>
      <c r="I8" s="157"/>
      <c r="J8" s="157"/>
      <c r="K8" s="157"/>
      <c r="L8" s="157"/>
      <c r="M8" s="157"/>
      <c r="N8" s="157"/>
      <c r="O8" s="157"/>
    </row>
    <row r="9" spans="1:15" ht="109.2" x14ac:dyDescent="0.3">
      <c r="A9" s="163" t="s">
        <v>161</v>
      </c>
      <c r="B9" s="159">
        <f t="shared" ref="B9:H9" si="1">B8*100/$B$8</f>
        <v>99.999999999999986</v>
      </c>
      <c r="C9" s="160">
        <f t="shared" si="1"/>
        <v>262.61101243339255</v>
      </c>
      <c r="D9" s="160">
        <f t="shared" si="1"/>
        <v>264.20959147424509</v>
      </c>
      <c r="E9" s="160">
        <f t="shared" si="1"/>
        <v>117.31793960923623</v>
      </c>
      <c r="F9" s="160">
        <f t="shared" si="1"/>
        <v>10.523978685612789</v>
      </c>
      <c r="G9" s="160">
        <f t="shared" si="1"/>
        <v>36.767317939609235</v>
      </c>
      <c r="H9" s="161">
        <f t="shared" si="1"/>
        <v>33.658969804618117</v>
      </c>
      <c r="I9" s="157"/>
      <c r="J9" s="157"/>
      <c r="K9" s="157"/>
      <c r="L9" s="157"/>
      <c r="M9" s="157"/>
      <c r="N9" s="157"/>
      <c r="O9" s="157"/>
    </row>
  </sheetData>
  <mergeCells count="18">
    <mergeCell ref="A1:A3"/>
    <mergeCell ref="B1:H1"/>
    <mergeCell ref="B2:B4"/>
    <mergeCell ref="C2:C4"/>
    <mergeCell ref="D2:D4"/>
    <mergeCell ref="E2:E4"/>
    <mergeCell ref="F2:F4"/>
    <mergeCell ref="G2:H2"/>
    <mergeCell ref="G3:G4"/>
    <mergeCell ref="H3:H4"/>
    <mergeCell ref="N2:O2"/>
    <mergeCell ref="N3:N4"/>
    <mergeCell ref="O3:O4"/>
    <mergeCell ref="I2:I4"/>
    <mergeCell ref="J2:J4"/>
    <mergeCell ref="K2:K4"/>
    <mergeCell ref="L2:L4"/>
    <mergeCell ref="M2:M4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1205E-CD5E-4049-A0E8-80D7B750FC7E}">
  <dimension ref="A1:O9"/>
  <sheetViews>
    <sheetView workbookViewId="0">
      <selection activeCell="B8" sqref="B8"/>
    </sheetView>
  </sheetViews>
  <sheetFormatPr defaultColWidth="11" defaultRowHeight="15.6" x14ac:dyDescent="0.3"/>
  <sheetData>
    <row r="1" spans="1:15" x14ac:dyDescent="0.3">
      <c r="A1" s="226" t="s">
        <v>153</v>
      </c>
      <c r="B1" s="215" t="s">
        <v>152</v>
      </c>
      <c r="C1" s="216"/>
      <c r="D1" s="216"/>
      <c r="E1" s="216"/>
      <c r="F1" s="216"/>
      <c r="G1" s="216"/>
      <c r="H1" s="217"/>
      <c r="I1" s="157"/>
      <c r="J1" s="157"/>
      <c r="K1" s="157"/>
      <c r="L1" s="157"/>
      <c r="M1" s="157"/>
      <c r="N1" s="157"/>
      <c r="O1" s="157"/>
    </row>
    <row r="2" spans="1:15" ht="16.05" customHeight="1" x14ac:dyDescent="0.3">
      <c r="A2" s="224"/>
      <c r="B2" s="224" t="s">
        <v>156</v>
      </c>
      <c r="C2" s="220" t="s">
        <v>155</v>
      </c>
      <c r="D2" s="220" t="s">
        <v>157</v>
      </c>
      <c r="E2" s="220" t="s">
        <v>158</v>
      </c>
      <c r="F2" s="220" t="s">
        <v>159</v>
      </c>
      <c r="G2" s="218" t="s">
        <v>140</v>
      </c>
      <c r="H2" s="219"/>
      <c r="I2" s="164"/>
      <c r="J2" s="164"/>
      <c r="K2" s="164"/>
      <c r="L2" s="164"/>
      <c r="M2" s="164"/>
      <c r="N2" s="165"/>
      <c r="O2" s="165"/>
    </row>
    <row r="3" spans="1:15" x14ac:dyDescent="0.3">
      <c r="A3" s="224"/>
      <c r="B3" s="224"/>
      <c r="C3" s="220"/>
      <c r="D3" s="220"/>
      <c r="E3" s="220"/>
      <c r="F3" s="220"/>
      <c r="G3" s="220" t="s">
        <v>160</v>
      </c>
      <c r="H3" s="222" t="s">
        <v>154</v>
      </c>
      <c r="I3" s="164"/>
      <c r="J3" s="164"/>
      <c r="K3" s="164"/>
      <c r="L3" s="164"/>
      <c r="M3" s="164"/>
      <c r="N3" s="164"/>
      <c r="O3" s="164"/>
    </row>
    <row r="4" spans="1:15" x14ac:dyDescent="0.3">
      <c r="A4" s="50"/>
      <c r="B4" s="224"/>
      <c r="C4" s="220"/>
      <c r="D4" s="220"/>
      <c r="E4" s="220"/>
      <c r="F4" s="220"/>
      <c r="G4" s="220"/>
      <c r="H4" s="222"/>
      <c r="I4" s="164"/>
      <c r="J4" s="164"/>
      <c r="K4" s="164"/>
      <c r="L4" s="164"/>
      <c r="M4" s="164"/>
      <c r="N4" s="164"/>
      <c r="O4" s="164"/>
    </row>
    <row r="5" spans="1:15" x14ac:dyDescent="0.3">
      <c r="A5" s="46" t="s">
        <v>149</v>
      </c>
      <c r="B5" s="46">
        <v>384</v>
      </c>
      <c r="C5" s="157">
        <v>1007</v>
      </c>
      <c r="D5" s="157">
        <v>1012</v>
      </c>
      <c r="E5" s="157">
        <v>440</v>
      </c>
      <c r="F5" s="157">
        <v>40.200000000000003</v>
      </c>
      <c r="G5" s="157">
        <v>140</v>
      </c>
      <c r="H5" s="19">
        <v>125</v>
      </c>
      <c r="I5" s="162"/>
      <c r="J5" s="162"/>
      <c r="K5" s="162"/>
      <c r="L5" s="162"/>
      <c r="M5" s="162"/>
      <c r="N5" s="162"/>
      <c r="O5" s="162"/>
    </row>
    <row r="6" spans="1:15" x14ac:dyDescent="0.3">
      <c r="A6" s="46" t="s">
        <v>150</v>
      </c>
      <c r="B6" s="46">
        <v>379</v>
      </c>
      <c r="C6" s="157">
        <v>1001</v>
      </c>
      <c r="D6" s="157">
        <v>1011</v>
      </c>
      <c r="E6" s="157">
        <v>445</v>
      </c>
      <c r="F6" s="157">
        <v>40.299999999999997</v>
      </c>
      <c r="G6" s="157">
        <v>148</v>
      </c>
      <c r="H6" s="19">
        <v>122</v>
      </c>
      <c r="I6" s="162"/>
      <c r="J6" s="162"/>
      <c r="K6" s="162"/>
      <c r="L6" s="162"/>
      <c r="M6" s="162"/>
      <c r="N6" s="162"/>
      <c r="O6" s="162"/>
    </row>
    <row r="7" spans="1:15" x14ac:dyDescent="0.3">
      <c r="A7" s="46" t="s">
        <v>151</v>
      </c>
      <c r="B7" s="46">
        <v>353</v>
      </c>
      <c r="C7" s="157">
        <v>1054</v>
      </c>
      <c r="D7" s="157">
        <v>985</v>
      </c>
      <c r="E7" s="157">
        <v>438</v>
      </c>
      <c r="F7" s="157">
        <v>44.6</v>
      </c>
      <c r="G7" s="157">
        <v>146</v>
      </c>
      <c r="H7" s="19">
        <v>123</v>
      </c>
      <c r="I7" s="162"/>
      <c r="J7" s="162"/>
      <c r="K7" s="162"/>
      <c r="L7" s="162"/>
      <c r="M7" s="162"/>
      <c r="N7" s="162"/>
      <c r="O7" s="162"/>
    </row>
    <row r="8" spans="1:15" ht="46.8" x14ac:dyDescent="0.3">
      <c r="A8" s="150" t="s">
        <v>162</v>
      </c>
      <c r="B8" s="45">
        <f>AVERAGE(B5:B7)</f>
        <v>372</v>
      </c>
      <c r="C8" s="151">
        <f t="shared" ref="C8:H8" si="0">AVERAGE(C5:C7)</f>
        <v>1020.6666666666666</v>
      </c>
      <c r="D8" s="151">
        <f t="shared" si="0"/>
        <v>1002.6666666666666</v>
      </c>
      <c r="E8" s="151">
        <f t="shared" si="0"/>
        <v>441</v>
      </c>
      <c r="F8" s="151">
        <f t="shared" si="0"/>
        <v>41.699999999999996</v>
      </c>
      <c r="G8" s="152">
        <f t="shared" si="0"/>
        <v>144.66666666666666</v>
      </c>
      <c r="H8" s="44">
        <f t="shared" si="0"/>
        <v>123.33333333333333</v>
      </c>
      <c r="I8" s="157"/>
      <c r="J8" s="157"/>
      <c r="K8" s="157"/>
      <c r="L8" s="157"/>
      <c r="M8" s="157"/>
      <c r="N8" s="157"/>
      <c r="O8" s="157"/>
    </row>
    <row r="9" spans="1:15" ht="109.2" x14ac:dyDescent="0.3">
      <c r="A9" s="163" t="s">
        <v>161</v>
      </c>
      <c r="B9" s="159">
        <f t="shared" ref="B9:H9" si="1">B8*100/$B$8</f>
        <v>100</v>
      </c>
      <c r="C9" s="160">
        <f t="shared" si="1"/>
        <v>274.37275985663081</v>
      </c>
      <c r="D9" s="160">
        <f t="shared" si="1"/>
        <v>269.53405017921142</v>
      </c>
      <c r="E9" s="160">
        <f t="shared" si="1"/>
        <v>118.54838709677419</v>
      </c>
      <c r="F9" s="160">
        <f t="shared" si="1"/>
        <v>11.209677419354838</v>
      </c>
      <c r="G9" s="160">
        <f t="shared" si="1"/>
        <v>38.888888888888886</v>
      </c>
      <c r="H9" s="161">
        <f t="shared" si="1"/>
        <v>33.154121863799283</v>
      </c>
      <c r="I9" s="157"/>
      <c r="J9" s="157"/>
      <c r="K9" s="157"/>
      <c r="L9" s="157"/>
      <c r="M9" s="157"/>
      <c r="N9" s="157"/>
      <c r="O9" s="157"/>
    </row>
  </sheetData>
  <mergeCells count="10">
    <mergeCell ref="A1:A3"/>
    <mergeCell ref="B1:H1"/>
    <mergeCell ref="B2:B4"/>
    <mergeCell ref="C2:C4"/>
    <mergeCell ref="D2:D4"/>
    <mergeCell ref="E2:E4"/>
    <mergeCell ref="F2:F4"/>
    <mergeCell ref="G2:H2"/>
    <mergeCell ref="G3:G4"/>
    <mergeCell ref="H3:H4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5A848-799E-434C-A268-0FB42DA4A8DC}">
  <dimension ref="A1:B11"/>
  <sheetViews>
    <sheetView workbookViewId="0">
      <selection activeCell="A33" sqref="A33"/>
    </sheetView>
  </sheetViews>
  <sheetFormatPr defaultColWidth="11.19921875" defaultRowHeight="15.6" outlineLevelRow="1" x14ac:dyDescent="0.3"/>
  <cols>
    <col min="1" max="1" width="30.796875" customWidth="1"/>
    <col min="2" max="2" width="19.5" customWidth="1"/>
  </cols>
  <sheetData>
    <row r="1" spans="1:2" x14ac:dyDescent="0.3">
      <c r="B1" t="s">
        <v>152</v>
      </c>
    </row>
    <row r="2" spans="1:2" hidden="1" outlineLevel="1" x14ac:dyDescent="0.3">
      <c r="B2" s="12">
        <f>'3.8.1 Консолидация'!$B$8</f>
        <v>373</v>
      </c>
    </row>
    <row r="3" spans="1:2" hidden="1" outlineLevel="1" collapsed="1" x14ac:dyDescent="0.3">
      <c r="B3" s="12">
        <f>'3.8.2 Консолидация'!$B$8</f>
        <v>372.66666666666669</v>
      </c>
    </row>
    <row r="4" spans="1:2" hidden="1" outlineLevel="1" collapsed="1" x14ac:dyDescent="0.3">
      <c r="B4" s="12">
        <f>'3.8.3 Консолидация'!$B$8</f>
        <v>375.33333333333331</v>
      </c>
    </row>
    <row r="5" spans="1:2" hidden="1" outlineLevel="1" collapsed="1" x14ac:dyDescent="0.3">
      <c r="B5" s="12">
        <f>'3.8.4 Консолидация'!$B$8</f>
        <v>372</v>
      </c>
    </row>
    <row r="6" spans="1:2" collapsed="1" x14ac:dyDescent="0.3">
      <c r="A6" t="s">
        <v>162</v>
      </c>
      <c r="B6" s="12">
        <f>AVERAGE(B2:B5)</f>
        <v>373.25</v>
      </c>
    </row>
    <row r="7" spans="1:2" hidden="1" outlineLevel="1" x14ac:dyDescent="0.3">
      <c r="B7">
        <f>'3.8.1 Консолидация'!$B$9</f>
        <v>100</v>
      </c>
    </row>
    <row r="8" spans="1:2" hidden="1" outlineLevel="1" collapsed="1" x14ac:dyDescent="0.3">
      <c r="B8">
        <f>'3.8.2 Консолидация'!$B$9</f>
        <v>100.00000000000001</v>
      </c>
    </row>
    <row r="9" spans="1:2" hidden="1" outlineLevel="1" collapsed="1" x14ac:dyDescent="0.3">
      <c r="B9">
        <f>'3.8.3 Консолидация'!$B$9</f>
        <v>99.999999999999986</v>
      </c>
    </row>
    <row r="10" spans="1:2" hidden="1" outlineLevel="1" collapsed="1" x14ac:dyDescent="0.3">
      <c r="B10">
        <f>'3.8.4 Консолидация'!$B$9</f>
        <v>100</v>
      </c>
    </row>
    <row r="11" spans="1:2" ht="46.8" collapsed="1" x14ac:dyDescent="0.3">
      <c r="A11" s="28" t="s">
        <v>161</v>
      </c>
      <c r="B11">
        <f>SUM(B7:B10)</f>
        <v>400</v>
      </c>
    </row>
  </sheetData>
  <dataConsolidate topLabels="1" link="1">
    <dataRefs count="4">
      <dataRef ref="A1:H9" sheet="3.8.1 Консолидация"/>
      <dataRef ref="A1:H9" sheet="3.8.2 Консолидация"/>
      <dataRef ref="A1:H9" sheet="3.8.3 Консолидация"/>
      <dataRef ref="A1:H9" sheet="3.8.4 Консолидация"/>
    </dataRefs>
  </dataConsolidate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07EA0-C103-8448-94E9-505D60C137AC}">
  <dimension ref="A1:K25"/>
  <sheetViews>
    <sheetView workbookViewId="0">
      <selection activeCell="B19" sqref="B19"/>
    </sheetView>
  </sheetViews>
  <sheetFormatPr defaultColWidth="11" defaultRowHeight="15.6" x14ac:dyDescent="0.3"/>
  <cols>
    <col min="2" max="2" width="32" customWidth="1"/>
    <col min="4" max="4" width="18.5" customWidth="1"/>
    <col min="5" max="5" width="11.69921875" customWidth="1"/>
    <col min="6" max="6" width="23" customWidth="1"/>
  </cols>
  <sheetData>
    <row r="1" spans="1:6" ht="46.8" x14ac:dyDescent="0.3">
      <c r="A1" s="29" t="s">
        <v>61</v>
      </c>
      <c r="B1" s="22" t="s">
        <v>71</v>
      </c>
      <c r="C1" s="22" t="s">
        <v>72</v>
      </c>
      <c r="D1" s="22" t="s">
        <v>73</v>
      </c>
      <c r="E1" s="29" t="s">
        <v>74</v>
      </c>
      <c r="F1" s="22" t="s">
        <v>75</v>
      </c>
    </row>
    <row r="2" spans="1:6" x14ac:dyDescent="0.3">
      <c r="A2" t="s">
        <v>62</v>
      </c>
      <c r="B2" s="13">
        <v>0.24099999999999999</v>
      </c>
      <c r="C2" s="13">
        <v>58</v>
      </c>
      <c r="D2" s="13">
        <v>4.9000000000000004</v>
      </c>
      <c r="E2" s="9" t="s">
        <v>76</v>
      </c>
      <c r="F2" s="13">
        <v>0</v>
      </c>
    </row>
    <row r="3" spans="1:6" x14ac:dyDescent="0.3">
      <c r="A3" t="s">
        <v>63</v>
      </c>
      <c r="B3" s="13">
        <v>0.61499999999999999</v>
      </c>
      <c r="C3" s="13">
        <v>108</v>
      </c>
      <c r="D3" s="13">
        <v>12.1</v>
      </c>
      <c r="E3" s="9" t="s">
        <v>88</v>
      </c>
      <c r="F3" s="13">
        <v>0</v>
      </c>
    </row>
    <row r="4" spans="1:6" x14ac:dyDescent="0.3">
      <c r="A4" t="s">
        <v>64</v>
      </c>
      <c r="B4" s="13">
        <v>1</v>
      </c>
      <c r="C4" s="13">
        <v>150</v>
      </c>
      <c r="D4" s="13">
        <v>12.8</v>
      </c>
      <c r="E4" s="9" t="s">
        <v>77</v>
      </c>
      <c r="F4" s="13">
        <v>1</v>
      </c>
    </row>
    <row r="5" spans="1:6" x14ac:dyDescent="0.3">
      <c r="A5" t="s">
        <v>65</v>
      </c>
      <c r="B5" s="13">
        <v>1.881</v>
      </c>
      <c r="C5" s="13">
        <v>288</v>
      </c>
      <c r="D5" s="13">
        <v>6.8</v>
      </c>
      <c r="E5" s="9" t="s">
        <v>78</v>
      </c>
      <c r="F5" s="13">
        <v>2</v>
      </c>
    </row>
    <row r="6" spans="1:6" x14ac:dyDescent="0.3">
      <c r="A6" t="s">
        <v>66</v>
      </c>
      <c r="B6" s="13">
        <v>11.86</v>
      </c>
      <c r="C6" s="13">
        <v>778</v>
      </c>
      <c r="D6" s="13">
        <v>142.6</v>
      </c>
      <c r="E6" s="9" t="s">
        <v>79</v>
      </c>
      <c r="F6" s="13">
        <v>16</v>
      </c>
    </row>
    <row r="7" spans="1:6" x14ac:dyDescent="0.3">
      <c r="A7" t="s">
        <v>67</v>
      </c>
      <c r="B7" s="13">
        <v>29.46</v>
      </c>
      <c r="C7" s="13">
        <v>1426</v>
      </c>
      <c r="D7" s="13">
        <v>120.2</v>
      </c>
      <c r="E7" s="9" t="s">
        <v>80</v>
      </c>
      <c r="F7" s="13">
        <v>17</v>
      </c>
    </row>
    <row r="8" spans="1:6" x14ac:dyDescent="0.3">
      <c r="A8" t="s">
        <v>68</v>
      </c>
      <c r="B8" s="13">
        <v>84.01</v>
      </c>
      <c r="C8" s="13">
        <v>2869</v>
      </c>
      <c r="D8" s="13">
        <v>49</v>
      </c>
      <c r="E8" s="9" t="s">
        <v>81</v>
      </c>
      <c r="F8" s="13">
        <v>14</v>
      </c>
    </row>
    <row r="9" spans="1:6" x14ac:dyDescent="0.3">
      <c r="A9" t="s">
        <v>69</v>
      </c>
      <c r="B9" s="13">
        <v>164.8</v>
      </c>
      <c r="C9" s="13">
        <v>4496</v>
      </c>
      <c r="D9" s="13">
        <v>50.2</v>
      </c>
      <c r="E9" s="9" t="s">
        <v>82</v>
      </c>
      <c r="F9" s="13">
        <v>2</v>
      </c>
    </row>
    <row r="10" spans="1:6" x14ac:dyDescent="0.3">
      <c r="A10" t="s">
        <v>70</v>
      </c>
      <c r="B10" s="13">
        <v>247.7</v>
      </c>
      <c r="C10" s="13">
        <v>5900</v>
      </c>
      <c r="D10" s="13">
        <v>2.8</v>
      </c>
      <c r="E10" s="9" t="s">
        <v>83</v>
      </c>
      <c r="F10" s="13">
        <v>1</v>
      </c>
    </row>
    <row r="11" spans="1:6" x14ac:dyDescent="0.3">
      <c r="A11" t="s">
        <v>163</v>
      </c>
      <c r="B11" s="13">
        <v>2</v>
      </c>
      <c r="C11" s="13">
        <v>350</v>
      </c>
      <c r="D11" s="13">
        <v>25</v>
      </c>
      <c r="E11" s="9" t="s">
        <v>164</v>
      </c>
      <c r="F11" s="13">
        <v>1</v>
      </c>
    </row>
    <row r="25" spans="11:11" x14ac:dyDescent="0.3">
      <c r="K25" s="49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32</vt:i4>
      </vt:variant>
      <vt:variant>
        <vt:lpstr>Именованные диапазоны</vt:lpstr>
      </vt:variant>
      <vt:variant>
        <vt:i4>11</vt:i4>
      </vt:variant>
    </vt:vector>
  </HeadingPairs>
  <TitlesOfParts>
    <vt:vector size="43" baseType="lpstr">
      <vt:lpstr>Титульный</vt:lpstr>
      <vt:lpstr>1.1 - 1.2 Вариант 8</vt:lpstr>
      <vt:lpstr>1.3 Построение графиков Вар 11</vt:lpstr>
      <vt:lpstr>2.1 Корни полинома Вар 11</vt:lpstr>
      <vt:lpstr>2.2 Метод итерации Вар 11</vt:lpstr>
      <vt:lpstr>2.3 Метод бисекции Вар 1</vt:lpstr>
      <vt:lpstr>2.4 Метод обр матр Вар11</vt:lpstr>
      <vt:lpstr>2.5 Метод Крамера Вар11</vt:lpstr>
      <vt:lpstr>Отчет о результатах 1</vt:lpstr>
      <vt:lpstr>Отчет об устойчивости 1</vt:lpstr>
      <vt:lpstr>Отчет о пределах 1</vt:lpstr>
      <vt:lpstr>2.6 Метод целевой фн Вар11 1</vt:lpstr>
      <vt:lpstr>3.1 Сортировка</vt:lpstr>
      <vt:lpstr>3.2 Фильтрация</vt:lpstr>
      <vt:lpstr>3.3.1 Автофильтр</vt:lpstr>
      <vt:lpstr>3.3.2 Автофильтр</vt:lpstr>
      <vt:lpstr>3.3.3 Автофильтр</vt:lpstr>
      <vt:lpstr>3.4 Расширенный фильтр</vt:lpstr>
      <vt:lpstr>3.5 Создание сводной таблицы</vt:lpstr>
      <vt:lpstr>Сводная таблица</vt:lpstr>
      <vt:lpstr>3.6 Получение промежуточных ито</vt:lpstr>
      <vt:lpstr>3.7.1 Формула связи. Январь</vt:lpstr>
      <vt:lpstr>3.7.2 Формула связи. Февраль</vt:lpstr>
      <vt:lpstr>3.7.3 Формула связи. Март</vt:lpstr>
      <vt:lpstr>3.7.4 Квартрал. Способ 1</vt:lpstr>
      <vt:lpstr>3.7.5 Квартрал. Способ 2</vt:lpstr>
      <vt:lpstr>3.8.1 Консолидация</vt:lpstr>
      <vt:lpstr>3.8.2 Консолидация</vt:lpstr>
      <vt:lpstr>3.8.3 Консолидация</vt:lpstr>
      <vt:lpstr>3.8.4 Консолидация</vt:lpstr>
      <vt:lpstr>3.8.5 Консолидация</vt:lpstr>
      <vt:lpstr>3.9 Создание формы данных</vt:lpstr>
      <vt:lpstr>Титульный!_ftn1</vt:lpstr>
      <vt:lpstr>Титульный!_ftn2</vt:lpstr>
      <vt:lpstr>Титульный!_ftnref1</vt:lpstr>
      <vt:lpstr>Титульный!_ftnref2</vt:lpstr>
      <vt:lpstr>x</vt:lpstr>
      <vt:lpstr>y</vt:lpstr>
      <vt:lpstr>'3.4 Расширенный фильтр'!Извлечь</vt:lpstr>
      <vt:lpstr>'3.3.1 Автофильтр'!Критерии</vt:lpstr>
      <vt:lpstr>'3.3.2 Автофильтр'!Критерии</vt:lpstr>
      <vt:lpstr>'3.3.3 Автофильтр'!Критерии</vt:lpstr>
      <vt:lpstr>'3.4 Расширенный фильтр'!Критерии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Юлия Медведева</dc:creator>
  <cp:lastModifiedBy>Юлия Медведева</cp:lastModifiedBy>
  <dcterms:created xsi:type="dcterms:W3CDTF">2023-10-23T06:36:01Z</dcterms:created>
  <dcterms:modified xsi:type="dcterms:W3CDTF">2024-10-09T12:05:08Z</dcterms:modified>
</cp:coreProperties>
</file>