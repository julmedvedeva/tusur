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_medvedeva/Documents/computer-science/tusur/информ технологии/"/>
    </mc:Choice>
  </mc:AlternateContent>
  <xr:revisionPtr revIDLastSave="0" documentId="13_ncr:1_{8F2B0715-1B7C-3C4D-A78C-9C897D10C2B6}" xr6:coauthVersionLast="47" xr6:coauthVersionMax="47" xr10:uidLastSave="{00000000-0000-0000-0000-000000000000}"/>
  <bookViews>
    <workbookView xWindow="280" yWindow="500" windowWidth="28240" windowHeight="16840" activeTab="1" xr2:uid="{64F8CC15-29E7-564F-8898-7D272121CB79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7" i="2" l="1"/>
  <c r="R98" i="2"/>
  <c r="R99" i="2"/>
  <c r="R100" i="2"/>
  <c r="R101" i="2"/>
  <c r="R102" i="2"/>
  <c r="R103" i="2"/>
  <c r="R104" i="2"/>
  <c r="R105" i="2"/>
  <c r="R106" i="2"/>
  <c r="R107" i="2"/>
  <c r="R96" i="2"/>
  <c r="Q107" i="2"/>
  <c r="P107" i="2"/>
  <c r="Q106" i="2"/>
  <c r="P106" i="2"/>
  <c r="Q105" i="2"/>
  <c r="P105" i="2"/>
  <c r="Q104" i="2"/>
  <c r="P104" i="2"/>
  <c r="Q103" i="2"/>
  <c r="P103" i="2"/>
  <c r="Q102" i="2"/>
  <c r="P102" i="2"/>
  <c r="Q101" i="2"/>
  <c r="P101" i="2"/>
  <c r="Q100" i="2"/>
  <c r="P100" i="2"/>
  <c r="Q99" i="2"/>
  <c r="P99" i="2"/>
  <c r="Q98" i="2"/>
  <c r="P98" i="2"/>
  <c r="Q97" i="2"/>
  <c r="P97" i="2"/>
  <c r="Q96" i="2"/>
  <c r="P96" i="2"/>
  <c r="R94" i="2"/>
  <c r="R81" i="2"/>
  <c r="R82" i="2" s="1"/>
  <c r="R83" i="2" s="1"/>
  <c r="R84" i="2" s="1"/>
  <c r="R85" i="2" s="1"/>
  <c r="R86" i="2" s="1"/>
  <c r="R87" i="2" s="1"/>
  <c r="R88" i="2" s="1"/>
  <c r="R89" i="2" s="1"/>
  <c r="R90" i="2" s="1"/>
  <c r="R91" i="2" s="1"/>
  <c r="R80" i="2"/>
  <c r="R64" i="2"/>
  <c r="R65" i="2" s="1"/>
  <c r="R66" i="2" s="1"/>
  <c r="R67" i="2" s="1"/>
  <c r="R68" i="2" s="1"/>
  <c r="R69" i="2" s="1"/>
  <c r="R70" i="2" s="1"/>
  <c r="R71" i="2" s="1"/>
  <c r="R72" i="2" s="1"/>
  <c r="R73" i="2" s="1"/>
  <c r="R74" i="2" s="1"/>
  <c r="R75" i="2" s="1"/>
  <c r="R48" i="2"/>
  <c r="R49" i="2" s="1"/>
  <c r="L59" i="2"/>
  <c r="K59" i="2"/>
  <c r="L58" i="2"/>
  <c r="K58" i="2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U7" i="2"/>
  <c r="T7" i="2"/>
  <c r="S7" i="2"/>
  <c r="U5" i="2"/>
  <c r="U6" i="2"/>
  <c r="U4" i="2"/>
  <c r="S5" i="2"/>
  <c r="S6" i="2"/>
  <c r="S4" i="2"/>
  <c r="AE4" i="2"/>
  <c r="AE6" i="2" s="1"/>
  <c r="P5" i="2"/>
  <c r="P4" i="2"/>
  <c r="P7" i="2"/>
  <c r="P8" i="2" s="1"/>
  <c r="P9" i="2" s="1"/>
  <c r="P10" i="2" s="1"/>
  <c r="P11" i="2" s="1"/>
  <c r="P12" i="2" s="1"/>
  <c r="P13" i="2" s="1"/>
  <c r="P14" i="2" s="1"/>
  <c r="P15" i="2" s="1"/>
  <c r="J7" i="2"/>
  <c r="M5" i="2"/>
  <c r="O8" i="2"/>
  <c r="O9" i="2"/>
  <c r="O7" i="2"/>
  <c r="Y7" i="2"/>
  <c r="Z4" i="2"/>
  <c r="AB3" i="2"/>
  <c r="X5" i="2"/>
  <c r="X6" i="2" s="1"/>
  <c r="AB9" i="2" s="1"/>
  <c r="AA5" i="2"/>
  <c r="X4" i="2"/>
  <c r="AB4" i="2" s="1"/>
  <c r="AB5" i="2" s="1"/>
  <c r="L5" i="2"/>
  <c r="L6" i="2"/>
  <c r="L7" i="2"/>
  <c r="L8" i="2"/>
  <c r="L9" i="2"/>
  <c r="L10" i="2"/>
  <c r="L11" i="2"/>
  <c r="L12" i="2"/>
  <c r="L13" i="2"/>
  <c r="L14" i="2"/>
  <c r="L15" i="2"/>
  <c r="L4" i="2"/>
  <c r="K15" i="2"/>
  <c r="K5" i="2"/>
  <c r="K6" i="2"/>
  <c r="K7" i="2"/>
  <c r="K8" i="2"/>
  <c r="K9" i="2"/>
  <c r="K10" i="2"/>
  <c r="K11" i="2"/>
  <c r="K12" i="2"/>
  <c r="K13" i="2"/>
  <c r="K14" i="2"/>
  <c r="K4" i="2"/>
  <c r="M2" i="2"/>
  <c r="J4" i="2"/>
  <c r="J5" i="2" s="1"/>
  <c r="J6" i="2" s="1"/>
  <c r="J8" i="2" s="1"/>
  <c r="J9" i="2" s="1"/>
  <c r="J10" i="2" s="1"/>
  <c r="J11" i="2" s="1"/>
  <c r="J12" i="2" s="1"/>
  <c r="J13" i="2" s="1"/>
  <c r="J14" i="2" s="1"/>
  <c r="J15" i="2" s="1"/>
  <c r="G4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D4" i="2"/>
  <c r="D5" i="2" s="1"/>
  <c r="R50" i="2" l="1"/>
  <c r="AE5" i="2"/>
  <c r="AE7" i="2" s="1"/>
  <c r="AE8" i="2" s="1"/>
  <c r="D6" i="2"/>
  <c r="M4" i="2"/>
  <c r="Z6" i="2"/>
  <c r="X7" i="2"/>
  <c r="Z5" i="2"/>
  <c r="Z7" i="2" s="1"/>
  <c r="AB7" i="2"/>
  <c r="R51" i="2" l="1"/>
  <c r="M6" i="2"/>
  <c r="D7" i="2"/>
  <c r="R52" i="2" l="1"/>
  <c r="D8" i="2"/>
  <c r="M7" i="2"/>
  <c r="R53" i="2" l="1"/>
  <c r="D9" i="2"/>
  <c r="M8" i="2"/>
  <c r="R54" i="2" l="1"/>
  <c r="D10" i="2"/>
  <c r="M9" i="2"/>
  <c r="R55" i="2" l="1"/>
  <c r="D11" i="2"/>
  <c r="M10" i="2"/>
  <c r="R56" i="2" l="1"/>
  <c r="D12" i="2"/>
  <c r="M11" i="2"/>
  <c r="R57" i="2" l="1"/>
  <c r="D13" i="2"/>
  <c r="M12" i="2"/>
  <c r="R58" i="2" l="1"/>
  <c r="D14" i="2"/>
  <c r="M13" i="2"/>
  <c r="R59" i="2" l="1"/>
  <c r="D15" i="2"/>
  <c r="M15" i="2" s="1"/>
  <c r="M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5F47A4-C1FE-034D-8A44-BA5102BD6374}" keepAlive="1" name="Запрос — urn:schemas-microsoft-com:office:office" description="Соединение с запросом &quot;urn:schemas-microsoft-com:office:office&quot; в книге." type="5" refreshedVersion="8" background="1" saveData="1">
    <dbPr connection="Provider=Microsoft.Mashup.OleDb.1;Data Source=$Workbook$;Location=urn:schemas-microsoft-com:office:office;Extended Properties=&quot;&quot;" command="SELECT * FROM [urn:schemas-microsoft-com:office:office]"/>
  </connection>
</connections>
</file>

<file path=xl/sharedStrings.xml><?xml version="1.0" encoding="utf-8"?>
<sst xmlns="http://schemas.openxmlformats.org/spreadsheetml/2006/main" count="176" uniqueCount="57">
  <si>
    <t>Месяц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</si>
  <si>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</si>
  <si>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</si>
  <si>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</si>
  <si>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</si>
  <si>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</si>
  <si>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</si>
  <si>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</si>
  <si>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</si>
  <si>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</si>
  <si>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</si>
  <si>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</si>
  <si>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</si>
  <si>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Поступления</t>
  </si>
  <si>
    <t>Платежи</t>
  </si>
  <si>
    <t>Подразделение 2</t>
  </si>
  <si>
    <t>Подразделение 3</t>
  </si>
  <si>
    <t>Средства на нач периода S1</t>
  </si>
  <si>
    <t>Средства на нач. периода S2</t>
  </si>
  <si>
    <t>Средства на нач. периода S3</t>
  </si>
  <si>
    <t>Баланс</t>
  </si>
  <si>
    <t xml:space="preserve">Подразделение 1 </t>
  </si>
  <si>
    <t>Консолидация</t>
  </si>
  <si>
    <t>S2</t>
  </si>
  <si>
    <t>Средства на нач. периодов</t>
  </si>
  <si>
    <t>150 / 3 = 50</t>
  </si>
  <si>
    <t>16 % 12</t>
  </si>
  <si>
    <t>ежемесячный процент</t>
  </si>
  <si>
    <t>150 х 1,333</t>
  </si>
  <si>
    <t xml:space="preserve">в рублях процент </t>
  </si>
  <si>
    <t>выплата в первый месяц</t>
  </si>
  <si>
    <t>100 х 1.33</t>
  </si>
  <si>
    <t>выплата во второй месяц</t>
  </si>
  <si>
    <t>50 х 1.33</t>
  </si>
  <si>
    <t>50 x 0,66</t>
  </si>
  <si>
    <t>Сумма долга по кредиту, млн руб.</t>
  </si>
  <si>
    <t>Выплаты по кредиту</t>
  </si>
  <si>
    <t>Сумма за проценты, млн руб.</t>
  </si>
  <si>
    <t>Постоянная сумма, млн руб. (основной долг)</t>
  </si>
  <si>
    <t xml:space="preserve"> </t>
  </si>
  <si>
    <t>Итоговая сумма, млн руб.</t>
  </si>
  <si>
    <t>Итого</t>
  </si>
  <si>
    <t>Сумма кредита</t>
  </si>
  <si>
    <t>Суммы
выплат
по кре-
диту</t>
  </si>
  <si>
    <t>Баланс
после
взятия
кредита
и выплат
по нему</t>
  </si>
  <si>
    <t>сумма</t>
  </si>
  <si>
    <t>процент год</t>
  </si>
  <si>
    <t xml:space="preserve">переплата </t>
  </si>
  <si>
    <t>деньгопроцент в месяц</t>
  </si>
  <si>
    <t>ежемес</t>
  </si>
  <si>
    <t>тотал</t>
  </si>
  <si>
    <t>diff</t>
  </si>
  <si>
    <t>Вариант</t>
  </si>
  <si>
    <t>S1</t>
  </si>
  <si>
    <t>S3</t>
  </si>
  <si>
    <t>Q1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</si>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</sst>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charset val="204"/>
      <scheme val="minor"/>
    </font>
    <font>
      <sz val="12"/>
      <color theme="9" tint="-0.499984740745262"/>
      <name val="Calibri"/>
      <family val="2"/>
      <charset val="204"/>
      <scheme val="minor"/>
    </font>
    <font>
      <b/>
      <sz val="12"/>
      <color theme="9" tint="-0.499984740745262"/>
      <name val="Calibri"/>
      <family val="2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ck">
        <color indexed="64"/>
      </bottom>
      <diagonal/>
    </border>
    <border>
      <left style="thin">
        <color rgb="FF7F7F7F"/>
      </left>
      <right style="thick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indexed="64"/>
      </right>
      <top style="thin">
        <color rgb="FF7F7F7F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rgb="FF7F7F7F"/>
      </bottom>
      <diagonal/>
    </border>
    <border>
      <left/>
      <right/>
      <top style="thick">
        <color indexed="64"/>
      </top>
      <bottom style="thin">
        <color rgb="FF7F7F7F"/>
      </bottom>
      <diagonal/>
    </border>
    <border>
      <left/>
      <right style="thick">
        <color indexed="64"/>
      </right>
      <top style="thick">
        <color indexed="64"/>
      </top>
      <bottom style="thin">
        <color rgb="FF7F7F7F"/>
      </bottom>
      <diagonal/>
    </border>
    <border>
      <left style="thick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indexed="64"/>
      </left>
      <right style="thin">
        <color rgb="FF7F7F7F"/>
      </right>
      <top style="thin">
        <color rgb="FF7F7F7F"/>
      </top>
      <bottom style="thick">
        <color indexed="64"/>
      </bottom>
      <diagonal/>
    </border>
    <border>
      <left style="thin">
        <color rgb="FF7F7F7F"/>
      </left>
      <right style="thick">
        <color indexed="64"/>
      </right>
      <top/>
      <bottom style="thin">
        <color rgb="FF7F7F7F"/>
      </bottom>
      <diagonal/>
    </border>
    <border>
      <left style="thick">
        <color indexed="64"/>
      </left>
      <right style="thick">
        <color indexed="64"/>
      </right>
      <top style="thin">
        <color rgb="FF7F7F7F"/>
      </top>
      <bottom style="thin">
        <color rgb="FF7F7F7F"/>
      </bottom>
      <diagonal/>
    </border>
    <border>
      <left style="thick">
        <color indexed="64"/>
      </left>
      <right style="thick">
        <color indexed="64"/>
      </right>
      <top style="thin">
        <color rgb="FF7F7F7F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rgb="FF7F7F7F"/>
      </bottom>
      <diagonal/>
    </border>
    <border>
      <left style="thick">
        <color indexed="64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ck">
        <color indexed="64"/>
      </right>
      <top/>
      <bottom style="thin">
        <color rgb="FF7F7F7F"/>
      </bottom>
      <diagonal/>
    </border>
    <border>
      <left style="thick">
        <color indexed="64"/>
      </left>
      <right style="thin">
        <color rgb="FF7F7F7F"/>
      </right>
      <top/>
      <bottom style="thin">
        <color rgb="FF7F7F7F"/>
      </bottom>
      <diagonal/>
    </border>
    <border>
      <left style="thick">
        <color indexed="64"/>
      </left>
      <right/>
      <top style="thin">
        <color rgb="FF7F7F7F"/>
      </top>
      <bottom style="thin">
        <color rgb="FF7F7F7F"/>
      </bottom>
      <diagonal/>
    </border>
    <border>
      <left style="thick">
        <color indexed="64"/>
      </left>
      <right style="thick">
        <color indexed="64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ck">
        <color indexed="64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ck">
        <color indexed="64"/>
      </left>
      <right style="thin">
        <color rgb="FF7F7F7F"/>
      </right>
      <top style="thick">
        <color indexed="64"/>
      </top>
      <bottom/>
      <diagonal/>
    </border>
    <border>
      <left style="thin">
        <color rgb="FF7F7F7F"/>
      </left>
      <right style="thin">
        <color rgb="FF7F7F7F"/>
      </right>
      <top style="thick">
        <color indexed="64"/>
      </top>
      <bottom/>
      <diagonal/>
    </border>
    <border>
      <left style="thin">
        <color rgb="FF7F7F7F"/>
      </left>
      <right style="thick">
        <color indexed="64"/>
      </right>
      <top style="thick">
        <color indexed="64"/>
      </top>
      <bottom/>
      <diagonal/>
    </border>
    <border>
      <left style="thin">
        <color rgb="FF7F7F7F"/>
      </left>
      <right style="thick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3" borderId="6" xfId="1" applyFont="1" applyFill="1" applyBorder="1" applyAlignment="1">
      <alignment horizontal="center" wrapText="1"/>
    </xf>
    <xf numFmtId="0" fontId="3" fillId="3" borderId="10" xfId="1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center" wrapText="1"/>
    </xf>
    <xf numFmtId="0" fontId="3" fillId="3" borderId="22" xfId="1" applyFont="1" applyFill="1" applyBorder="1" applyAlignment="1">
      <alignment horizontal="center" wrapText="1"/>
    </xf>
    <xf numFmtId="0" fontId="3" fillId="3" borderId="23" xfId="1" applyFont="1" applyFill="1" applyBorder="1" applyAlignment="1">
      <alignment horizontal="center" wrapText="1"/>
    </xf>
    <xf numFmtId="0" fontId="3" fillId="3" borderId="8" xfId="1" applyFont="1" applyFill="1" applyBorder="1" applyAlignment="1">
      <alignment wrapText="1"/>
    </xf>
    <xf numFmtId="0" fontId="3" fillId="3" borderId="25" xfId="1" applyFont="1" applyFill="1" applyBorder="1" applyAlignment="1">
      <alignment horizontal="center" wrapText="1"/>
    </xf>
    <xf numFmtId="0" fontId="3" fillId="3" borderId="4" xfId="1" applyFont="1" applyFill="1" applyBorder="1" applyAlignment="1">
      <alignment horizontal="center" wrapText="1"/>
    </xf>
    <xf numFmtId="0" fontId="3" fillId="3" borderId="4" xfId="1" applyFont="1" applyFill="1" applyBorder="1" applyAlignment="1">
      <alignment wrapText="1"/>
    </xf>
    <xf numFmtId="0" fontId="3" fillId="3" borderId="1" xfId="1" applyFont="1" applyFill="1" applyBorder="1" applyAlignment="1">
      <alignment wrapText="1"/>
    </xf>
    <xf numFmtId="0" fontId="3" fillId="3" borderId="15" xfId="1" applyFont="1" applyFill="1" applyBorder="1" applyAlignment="1">
      <alignment wrapText="1"/>
    </xf>
    <xf numFmtId="0" fontId="3" fillId="3" borderId="20" xfId="1" applyFont="1" applyFill="1" applyBorder="1" applyAlignment="1">
      <alignment wrapText="1"/>
    </xf>
    <xf numFmtId="0" fontId="3" fillId="3" borderId="18" xfId="1" applyFont="1" applyFill="1" applyBorder="1" applyAlignment="1">
      <alignment wrapText="1"/>
    </xf>
    <xf numFmtId="0" fontId="3" fillId="3" borderId="19" xfId="1" applyFont="1" applyFill="1" applyBorder="1" applyAlignment="1">
      <alignment wrapText="1"/>
    </xf>
    <xf numFmtId="0" fontId="3" fillId="3" borderId="11" xfId="1" applyFont="1" applyFill="1" applyBorder="1" applyAlignment="1">
      <alignment wrapText="1"/>
    </xf>
    <xf numFmtId="0" fontId="3" fillId="3" borderId="7" xfId="1" applyFont="1" applyFill="1" applyBorder="1" applyAlignment="1">
      <alignment wrapText="1"/>
    </xf>
    <xf numFmtId="0" fontId="3" fillId="3" borderId="9" xfId="1" applyFont="1" applyFill="1" applyBorder="1" applyAlignment="1">
      <alignment wrapText="1"/>
    </xf>
    <xf numFmtId="0" fontId="3" fillId="3" borderId="16" xfId="1" applyFont="1" applyFill="1" applyBorder="1" applyAlignment="1">
      <alignment wrapText="1"/>
    </xf>
    <xf numFmtId="0" fontId="3" fillId="3" borderId="20" xfId="1" applyFont="1" applyFill="1" applyBorder="1" applyAlignment="1">
      <alignment horizontal="center" vertical="center" wrapText="1"/>
    </xf>
    <xf numFmtId="0" fontId="3" fillId="3" borderId="18" xfId="1" applyFont="1" applyFill="1" applyBorder="1" applyAlignment="1">
      <alignment horizontal="center" vertical="center" wrapText="1"/>
    </xf>
    <xf numFmtId="0" fontId="3" fillId="3" borderId="26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3" fillId="3" borderId="15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left" vertical="center" wrapText="1"/>
    </xf>
    <xf numFmtId="0" fontId="3" fillId="3" borderId="4" xfId="1" applyFont="1" applyFill="1" applyBorder="1" applyAlignment="1">
      <alignment horizontal="left" vertical="center" wrapText="1"/>
    </xf>
    <xf numFmtId="0" fontId="3" fillId="3" borderId="8" xfId="1" applyFont="1" applyFill="1" applyBorder="1" applyAlignment="1">
      <alignment horizontal="left" vertical="center" wrapText="1"/>
    </xf>
    <xf numFmtId="0" fontId="3" fillId="3" borderId="25" xfId="1" applyFont="1" applyFill="1" applyBorder="1" applyAlignment="1">
      <alignment horizontal="left" vertical="center" wrapText="1"/>
    </xf>
    <xf numFmtId="0" fontId="3" fillId="3" borderId="5" xfId="1" applyFont="1" applyFill="1" applyBorder="1" applyAlignment="1">
      <alignment wrapText="1"/>
    </xf>
    <xf numFmtId="0" fontId="3" fillId="3" borderId="12" xfId="1" applyFont="1" applyFill="1" applyBorder="1" applyAlignment="1">
      <alignment horizontal="center" wrapText="1"/>
    </xf>
    <xf numFmtId="0" fontId="3" fillId="3" borderId="13" xfId="1" applyFont="1" applyFill="1" applyBorder="1" applyAlignment="1">
      <alignment horizontal="center" wrapText="1"/>
    </xf>
    <xf numFmtId="0" fontId="3" fillId="3" borderId="14" xfId="1" applyFont="1" applyFill="1" applyBorder="1" applyAlignment="1">
      <alignment horizontal="center" wrapText="1"/>
    </xf>
    <xf numFmtId="0" fontId="3" fillId="3" borderId="27" xfId="1" applyFont="1" applyFill="1" applyBorder="1" applyAlignment="1">
      <alignment horizontal="center" vertical="center" wrapText="1"/>
    </xf>
    <xf numFmtId="0" fontId="3" fillId="3" borderId="28" xfId="1" applyFont="1" applyFill="1" applyBorder="1" applyAlignment="1">
      <alignment horizontal="center" vertical="center" wrapText="1"/>
    </xf>
    <xf numFmtId="0" fontId="3" fillId="3" borderId="29" xfId="1" applyFont="1" applyFill="1" applyBorder="1" applyAlignment="1">
      <alignment horizontal="center" vertical="center" wrapText="1"/>
    </xf>
    <xf numFmtId="0" fontId="3" fillId="3" borderId="24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30" xfId="1" applyFont="1" applyFill="1" applyBorder="1" applyAlignment="1">
      <alignment wrapText="1"/>
    </xf>
    <xf numFmtId="0" fontId="3" fillId="3" borderId="31" xfId="1" applyFont="1" applyFill="1" applyBorder="1" applyAlignment="1">
      <alignment horizontal="center" vertical="center" wrapText="1"/>
    </xf>
    <xf numFmtId="0" fontId="3" fillId="3" borderId="32" xfId="1" applyFont="1" applyFill="1" applyBorder="1" applyAlignment="1">
      <alignment horizontal="center" vertical="center" wrapText="1"/>
    </xf>
    <xf numFmtId="0" fontId="3" fillId="3" borderId="33" xfId="1" applyFont="1" applyFill="1" applyBorder="1" applyAlignment="1">
      <alignment horizontal="center" vertical="center" wrapText="1"/>
    </xf>
    <xf numFmtId="0" fontId="3" fillId="3" borderId="34" xfId="1" applyFont="1" applyFill="1" applyBorder="1" applyAlignment="1">
      <alignment horizontal="center" vertical="center" wrapText="1"/>
    </xf>
    <xf numFmtId="0" fontId="3" fillId="3" borderId="17" xfId="1" applyFont="1" applyFill="1" applyBorder="1" applyAlignment="1">
      <alignment horizontal="center" vertical="center" wrapText="1"/>
    </xf>
    <xf numFmtId="0" fontId="4" fillId="3" borderId="16" xfId="1" applyFont="1" applyFill="1" applyBorder="1" applyAlignment="1">
      <alignment wrapText="1"/>
    </xf>
    <xf numFmtId="0" fontId="3" fillId="3" borderId="35" xfId="1" applyFont="1" applyFill="1" applyBorder="1" applyAlignment="1">
      <alignment wrapText="1"/>
    </xf>
    <xf numFmtId="0" fontId="3" fillId="3" borderId="2" xfId="1" applyFont="1" applyFill="1" applyBorder="1" applyAlignment="1">
      <alignment horizontal="center" wrapText="1"/>
    </xf>
  </cellXfs>
  <cellStyles count="2">
    <cellStyle name="Акцент6" xfId="1" builtinId="49"/>
    <cellStyle name="Обычный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Подразделение 1 </a:t>
            </a:r>
            <a:r>
              <a:rPr lang="ru-RU" sz="1400" b="0" i="0" u="none" strike="noStrike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Лист2!$B$3</c:f>
              <c:strCache>
                <c:ptCount val="1"/>
                <c:pt idx="0">
                  <c:v>Поступления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Лист2!$B$4:$B$15</c:f>
              <c:numCache>
                <c:formatCode>General</c:formatCode>
                <c:ptCount val="12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70</c:v>
                </c:pt>
                <c:pt idx="4">
                  <c:v>85</c:v>
                </c:pt>
                <c:pt idx="5">
                  <c:v>60</c:v>
                </c:pt>
                <c:pt idx="6">
                  <c:v>120</c:v>
                </c:pt>
                <c:pt idx="7">
                  <c:v>110</c:v>
                </c:pt>
                <c:pt idx="8">
                  <c:v>90</c:v>
                </c:pt>
                <c:pt idx="9">
                  <c:v>150</c:v>
                </c:pt>
                <c:pt idx="10">
                  <c:v>55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8A-7640-8DA7-5E4D32783B82}"/>
            </c:ext>
          </c:extLst>
        </c:ser>
        <c:ser>
          <c:idx val="1"/>
          <c:order val="1"/>
          <c:tx>
            <c:strRef>
              <c:f>Лист2!$C$3</c:f>
              <c:strCache>
                <c:ptCount val="1"/>
                <c:pt idx="0">
                  <c:v>Платежи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Лист2!$C$4:$C$15</c:f>
              <c:numCache>
                <c:formatCode>General</c:formatCode>
                <c:ptCount val="12"/>
                <c:pt idx="0">
                  <c:v>80</c:v>
                </c:pt>
                <c:pt idx="1">
                  <c:v>120</c:v>
                </c:pt>
                <c:pt idx="2">
                  <c:v>120</c:v>
                </c:pt>
                <c:pt idx="3">
                  <c:v>50</c:v>
                </c:pt>
                <c:pt idx="4">
                  <c:v>80</c:v>
                </c:pt>
                <c:pt idx="5">
                  <c:v>40</c:v>
                </c:pt>
                <c:pt idx="6">
                  <c:v>45</c:v>
                </c:pt>
                <c:pt idx="7">
                  <c:v>35</c:v>
                </c:pt>
                <c:pt idx="8">
                  <c:v>150</c:v>
                </c:pt>
                <c:pt idx="9">
                  <c:v>160</c:v>
                </c:pt>
                <c:pt idx="10">
                  <c:v>35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8A-7640-8DA7-5E4D32783B82}"/>
            </c:ext>
          </c:extLst>
        </c:ser>
        <c:ser>
          <c:idx val="2"/>
          <c:order val="2"/>
          <c:tx>
            <c:strRef>
              <c:f>Лист2!$D$3</c:f>
              <c:strCache>
                <c:ptCount val="1"/>
                <c:pt idx="0">
                  <c:v>Баланс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Лист2!$D$4:$D$15</c:f>
              <c:numCache>
                <c:formatCode>General</c:formatCode>
                <c:ptCount val="12"/>
                <c:pt idx="0">
                  <c:v>40</c:v>
                </c:pt>
                <c:pt idx="1">
                  <c:v>-5</c:v>
                </c:pt>
                <c:pt idx="2">
                  <c:v>-75</c:v>
                </c:pt>
                <c:pt idx="3">
                  <c:v>-55</c:v>
                </c:pt>
                <c:pt idx="4">
                  <c:v>-50</c:v>
                </c:pt>
                <c:pt idx="5">
                  <c:v>-30</c:v>
                </c:pt>
                <c:pt idx="6">
                  <c:v>45</c:v>
                </c:pt>
                <c:pt idx="7">
                  <c:v>120</c:v>
                </c:pt>
                <c:pt idx="8">
                  <c:v>60</c:v>
                </c:pt>
                <c:pt idx="9">
                  <c:v>50</c:v>
                </c:pt>
                <c:pt idx="10">
                  <c:v>70</c:v>
                </c:pt>
                <c:pt idx="1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8A-7640-8DA7-5E4D32783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4788336"/>
        <c:axId val="744790064"/>
      </c:lineChart>
      <c:catAx>
        <c:axId val="74478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90064"/>
        <c:crosses val="autoZero"/>
        <c:auto val="1"/>
        <c:lblAlgn val="ctr"/>
        <c:lblOffset val="100"/>
        <c:noMultiLvlLbl val="0"/>
      </c:catAx>
      <c:valAx>
        <c:axId val="74479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8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Подразделение 2</a:t>
            </a:r>
            <a:r>
              <a:rPr lang="ru-RU" sz="1400" b="0" i="0" u="none" strike="noStrike" baseline="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Лист2!$E$3</c:f>
              <c:strCache>
                <c:ptCount val="1"/>
                <c:pt idx="0">
                  <c:v>Поступления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Лист2!$E$4:$E$15</c:f>
              <c:numCache>
                <c:formatCode>General</c:formatCode>
                <c:ptCount val="12"/>
                <c:pt idx="0">
                  <c:v>50</c:v>
                </c:pt>
                <c:pt idx="1">
                  <c:v>30</c:v>
                </c:pt>
                <c:pt idx="2">
                  <c:v>15</c:v>
                </c:pt>
                <c:pt idx="3">
                  <c:v>30</c:v>
                </c:pt>
                <c:pt idx="4">
                  <c:v>45</c:v>
                </c:pt>
                <c:pt idx="5">
                  <c:v>20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70</c:v>
                </c:pt>
                <c:pt idx="10">
                  <c:v>40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19-FA4B-BBF5-B0F5EA92D1DE}"/>
            </c:ext>
          </c:extLst>
        </c:ser>
        <c:ser>
          <c:idx val="1"/>
          <c:order val="1"/>
          <c:tx>
            <c:strRef>
              <c:f>Лист2!$F$3</c:f>
              <c:strCache>
                <c:ptCount val="1"/>
                <c:pt idx="0">
                  <c:v>Платежи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Лист2!$F$4:$F$15</c:f>
              <c:numCache>
                <c:formatCode>General</c:formatCode>
                <c:ptCount val="12"/>
                <c:pt idx="0">
                  <c:v>35</c:v>
                </c:pt>
                <c:pt idx="1">
                  <c:v>40</c:v>
                </c:pt>
                <c:pt idx="2">
                  <c:v>50</c:v>
                </c:pt>
                <c:pt idx="3">
                  <c:v>30</c:v>
                </c:pt>
                <c:pt idx="4">
                  <c:v>30</c:v>
                </c:pt>
                <c:pt idx="5">
                  <c:v>20</c:v>
                </c:pt>
                <c:pt idx="6">
                  <c:v>25</c:v>
                </c:pt>
                <c:pt idx="7">
                  <c:v>15</c:v>
                </c:pt>
                <c:pt idx="8">
                  <c:v>110</c:v>
                </c:pt>
                <c:pt idx="9">
                  <c:v>90</c:v>
                </c:pt>
                <c:pt idx="10">
                  <c:v>20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19-FA4B-BBF5-B0F5EA92D1DE}"/>
            </c:ext>
          </c:extLst>
        </c:ser>
        <c:ser>
          <c:idx val="2"/>
          <c:order val="2"/>
          <c:tx>
            <c:strRef>
              <c:f>Лист2!$G$3</c:f>
              <c:strCache>
                <c:ptCount val="1"/>
                <c:pt idx="0">
                  <c:v>Баланс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Лист2!$G$4:$G$15</c:f>
              <c:numCache>
                <c:formatCode>General</c:formatCode>
                <c:ptCount val="12"/>
                <c:pt idx="0">
                  <c:v>30</c:v>
                </c:pt>
                <c:pt idx="1">
                  <c:v>20</c:v>
                </c:pt>
                <c:pt idx="2">
                  <c:v>-15</c:v>
                </c:pt>
                <c:pt idx="3">
                  <c:v>-15</c:v>
                </c:pt>
                <c:pt idx="4">
                  <c:v>0</c:v>
                </c:pt>
                <c:pt idx="5">
                  <c:v>0</c:v>
                </c:pt>
                <c:pt idx="6">
                  <c:v>25</c:v>
                </c:pt>
                <c:pt idx="7">
                  <c:v>60</c:v>
                </c:pt>
                <c:pt idx="8">
                  <c:v>0</c:v>
                </c:pt>
                <c:pt idx="9">
                  <c:v>-20</c:v>
                </c:pt>
                <c:pt idx="10">
                  <c:v>0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19-FA4B-BBF5-B0F5EA92D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6063920"/>
        <c:axId val="1026065648"/>
      </c:lineChart>
      <c:catAx>
        <c:axId val="102606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6065648"/>
        <c:crosses val="autoZero"/>
        <c:auto val="1"/>
        <c:lblAlgn val="ctr"/>
        <c:lblOffset val="100"/>
        <c:noMultiLvlLbl val="0"/>
      </c:catAx>
      <c:valAx>
        <c:axId val="102606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606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Подразделение 3</a:t>
            </a:r>
            <a:r>
              <a:rPr lang="ru-RU" sz="1400" b="0" i="0" u="none" strike="noStrike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Лист2!$H$3</c:f>
              <c:strCache>
                <c:ptCount val="1"/>
                <c:pt idx="0">
                  <c:v>Поступления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Лист2!$H$4:$H$15</c:f>
              <c:numCache>
                <c:formatCode>General</c:formatCode>
                <c:ptCount val="12"/>
                <c:pt idx="0">
                  <c:v>80</c:v>
                </c:pt>
                <c:pt idx="1">
                  <c:v>70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50</c:v>
                </c:pt>
                <c:pt idx="6">
                  <c:v>35</c:v>
                </c:pt>
                <c:pt idx="7">
                  <c:v>90</c:v>
                </c:pt>
                <c:pt idx="8">
                  <c:v>60</c:v>
                </c:pt>
                <c:pt idx="9">
                  <c:v>125</c:v>
                </c:pt>
                <c:pt idx="10">
                  <c:v>35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C-DD4F-9870-A2A2A6A01F8E}"/>
            </c:ext>
          </c:extLst>
        </c:ser>
        <c:ser>
          <c:idx val="1"/>
          <c:order val="1"/>
          <c:tx>
            <c:strRef>
              <c:f>Лист2!$I$3</c:f>
              <c:strCache>
                <c:ptCount val="1"/>
                <c:pt idx="0">
                  <c:v>Платежи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Лист2!$I$4:$I$15</c:f>
              <c:numCache>
                <c:formatCode>General</c:formatCode>
                <c:ptCount val="12"/>
                <c:pt idx="0">
                  <c:v>65</c:v>
                </c:pt>
                <c:pt idx="1">
                  <c:v>65</c:v>
                </c:pt>
                <c:pt idx="2">
                  <c:v>145</c:v>
                </c:pt>
                <c:pt idx="3">
                  <c:v>20</c:v>
                </c:pt>
                <c:pt idx="4">
                  <c:v>35</c:v>
                </c:pt>
                <c:pt idx="5">
                  <c:v>20</c:v>
                </c:pt>
                <c:pt idx="6">
                  <c:v>20</c:v>
                </c:pt>
                <c:pt idx="7">
                  <c:v>25</c:v>
                </c:pt>
                <c:pt idx="8">
                  <c:v>80</c:v>
                </c:pt>
                <c:pt idx="9">
                  <c:v>130</c:v>
                </c:pt>
                <c:pt idx="10">
                  <c:v>25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0C-DD4F-9870-A2A2A6A01F8E}"/>
            </c:ext>
          </c:extLst>
        </c:ser>
        <c:ser>
          <c:idx val="2"/>
          <c:order val="2"/>
          <c:tx>
            <c:strRef>
              <c:f>Лист2!$J$3</c:f>
              <c:strCache>
                <c:ptCount val="1"/>
                <c:pt idx="0">
                  <c:v>Баланс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Лист2!$J$4:$J$15</c:f>
              <c:numCache>
                <c:formatCode>General</c:formatCode>
                <c:ptCount val="12"/>
                <c:pt idx="0">
                  <c:v>30</c:v>
                </c:pt>
                <c:pt idx="1">
                  <c:v>35</c:v>
                </c:pt>
                <c:pt idx="2">
                  <c:v>-60</c:v>
                </c:pt>
                <c:pt idx="3">
                  <c:v>-20</c:v>
                </c:pt>
                <c:pt idx="4">
                  <c:v>15</c:v>
                </c:pt>
                <c:pt idx="5">
                  <c:v>45</c:v>
                </c:pt>
                <c:pt idx="6">
                  <c:v>60</c:v>
                </c:pt>
                <c:pt idx="7">
                  <c:v>125</c:v>
                </c:pt>
                <c:pt idx="8">
                  <c:v>105</c:v>
                </c:pt>
                <c:pt idx="9">
                  <c:v>100</c:v>
                </c:pt>
                <c:pt idx="10">
                  <c:v>110</c:v>
                </c:pt>
                <c:pt idx="11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0C-DD4F-9870-A2A2A6A01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4941296"/>
        <c:axId val="744943296"/>
      </c:lineChart>
      <c:catAx>
        <c:axId val="74494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943296"/>
        <c:crosses val="autoZero"/>
        <c:auto val="1"/>
        <c:lblAlgn val="ctr"/>
        <c:lblOffset val="100"/>
        <c:noMultiLvlLbl val="0"/>
      </c:catAx>
      <c:valAx>
        <c:axId val="74494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94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Консолидация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Лист2!$K$3</c:f>
              <c:strCache>
                <c:ptCount val="1"/>
                <c:pt idx="0">
                  <c:v>Поступления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Лист2!$K$4:$K$15</c:f>
              <c:numCache>
                <c:formatCode>General</c:formatCode>
                <c:ptCount val="12"/>
                <c:pt idx="0">
                  <c:v>230</c:v>
                </c:pt>
                <c:pt idx="1">
                  <c:v>175</c:v>
                </c:pt>
                <c:pt idx="2">
                  <c:v>115</c:v>
                </c:pt>
                <c:pt idx="3">
                  <c:v>160</c:v>
                </c:pt>
                <c:pt idx="4">
                  <c:v>200</c:v>
                </c:pt>
                <c:pt idx="5">
                  <c:v>130</c:v>
                </c:pt>
                <c:pt idx="6">
                  <c:v>205</c:v>
                </c:pt>
                <c:pt idx="7">
                  <c:v>250</c:v>
                </c:pt>
                <c:pt idx="8">
                  <c:v>200</c:v>
                </c:pt>
                <c:pt idx="9">
                  <c:v>345</c:v>
                </c:pt>
                <c:pt idx="10">
                  <c:v>130</c:v>
                </c:pt>
                <c:pt idx="1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49-BE49-8FE9-B8FE297093A0}"/>
            </c:ext>
          </c:extLst>
        </c:ser>
        <c:ser>
          <c:idx val="1"/>
          <c:order val="1"/>
          <c:tx>
            <c:strRef>
              <c:f>Лист2!$L$3</c:f>
              <c:strCache>
                <c:ptCount val="1"/>
                <c:pt idx="0">
                  <c:v>Платежи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Лист2!$L$4:$L$15</c:f>
              <c:numCache>
                <c:formatCode>General</c:formatCode>
                <c:ptCount val="12"/>
                <c:pt idx="0">
                  <c:v>180</c:v>
                </c:pt>
                <c:pt idx="1">
                  <c:v>225</c:v>
                </c:pt>
                <c:pt idx="2">
                  <c:v>315</c:v>
                </c:pt>
                <c:pt idx="3">
                  <c:v>100</c:v>
                </c:pt>
                <c:pt idx="4">
                  <c:v>145</c:v>
                </c:pt>
                <c:pt idx="5">
                  <c:v>80</c:v>
                </c:pt>
                <c:pt idx="6">
                  <c:v>90</c:v>
                </c:pt>
                <c:pt idx="7">
                  <c:v>75</c:v>
                </c:pt>
                <c:pt idx="8">
                  <c:v>340</c:v>
                </c:pt>
                <c:pt idx="9">
                  <c:v>380</c:v>
                </c:pt>
                <c:pt idx="10">
                  <c:v>80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49-BE49-8FE9-B8FE297093A0}"/>
            </c:ext>
          </c:extLst>
        </c:ser>
        <c:ser>
          <c:idx val="2"/>
          <c:order val="2"/>
          <c:tx>
            <c:strRef>
              <c:f>Лист2!$M$3</c:f>
              <c:strCache>
                <c:ptCount val="1"/>
                <c:pt idx="0">
                  <c:v>Баланс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Лист2!$A$4:$A$15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Лист2!$M$4:$M$15</c:f>
              <c:numCache>
                <c:formatCode>General</c:formatCode>
                <c:ptCount val="12"/>
                <c:pt idx="0">
                  <c:v>100</c:v>
                </c:pt>
                <c:pt idx="1">
                  <c:v>50</c:v>
                </c:pt>
                <c:pt idx="2">
                  <c:v>-150</c:v>
                </c:pt>
                <c:pt idx="3">
                  <c:v>-90</c:v>
                </c:pt>
                <c:pt idx="4">
                  <c:v>-35</c:v>
                </c:pt>
                <c:pt idx="5">
                  <c:v>15</c:v>
                </c:pt>
                <c:pt idx="6">
                  <c:v>130</c:v>
                </c:pt>
                <c:pt idx="7">
                  <c:v>305</c:v>
                </c:pt>
                <c:pt idx="8">
                  <c:v>165</c:v>
                </c:pt>
                <c:pt idx="9">
                  <c:v>130</c:v>
                </c:pt>
                <c:pt idx="10">
                  <c:v>180</c:v>
                </c:pt>
                <c:pt idx="11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49-BE49-8FE9-B8FE29709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6247856"/>
        <c:axId val="1026249584"/>
      </c:lineChart>
      <c:catAx>
        <c:axId val="102624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6249584"/>
        <c:crosses val="autoZero"/>
        <c:auto val="1"/>
        <c:lblAlgn val="ctr"/>
        <c:lblOffset val="100"/>
        <c:noMultiLvlLbl val="0"/>
      </c:catAx>
      <c:valAx>
        <c:axId val="102624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624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50800</xdr:rowOff>
    </xdr:from>
    <xdr:to>
      <xdr:col>8</xdr:col>
      <xdr:colOff>0</xdr:colOff>
      <xdr:row>25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DC3BF9-63A4-5E3C-4FCE-26B52776E11F}"/>
            </a:ext>
          </a:extLst>
        </xdr:cNvPr>
        <xdr:cNvSpPr txBox="1"/>
      </xdr:nvSpPr>
      <xdr:spPr>
        <a:xfrm>
          <a:off x="38100" y="50800"/>
          <a:ext cx="6565900" cy="5029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Министерство науки и высшего образования Российской Федерации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Федеральное государственное бюджетное образовательное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учреждение высшего образования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ТОМСКИЙ ГОСУДАРСТВЕННЫЙ УНИВЕРСИТЕТ СИСТЕМ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УПРАВЛЕНИЯ И РАДИОЭЛЕКТРОНИКИ (ТУСУР)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Автоматизированных систем управления 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(АСУ) 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EXEL</a:t>
          </a:r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Информационные технологии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Текстовая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контрольная работа</a:t>
          </a:r>
        </a:p>
        <a:p>
          <a:pPr algn="ctr"/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и выработка согласованной </a:t>
          </a:r>
        </a:p>
        <a:p>
          <a:pPr algn="ctr"/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финансовой полоитики на предприятии</a:t>
          </a:r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Выполнила:</a:t>
          </a:r>
        </a:p>
        <a:p>
          <a:pPr algn="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Студентка гр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з-433П8-5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</a:p>
        <a:p>
          <a:pPr algn="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Медведева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Ю.Е.</a:t>
          </a:r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«23» октября 2023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г.</a:t>
          </a:r>
        </a:p>
        <a:p>
          <a:pPr algn="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 </a:t>
          </a:r>
        </a:p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Томск 20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</a:t>
          </a:r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9071</xdr:colOff>
      <xdr:row>16</xdr:row>
      <xdr:rowOff>18142</xdr:rowOff>
    </xdr:from>
    <xdr:to>
      <xdr:col>7</xdr:col>
      <xdr:colOff>18143</xdr:colOff>
      <xdr:row>29</xdr:row>
      <xdr:rowOff>146956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0C70F79-3542-C8D1-EAB2-D767DC096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444499</xdr:colOff>
      <xdr:row>16</xdr:row>
      <xdr:rowOff>34472</xdr:rowOff>
    </xdr:from>
    <xdr:to>
      <xdr:col>13</xdr:col>
      <xdr:colOff>453570</xdr:colOff>
      <xdr:row>29</xdr:row>
      <xdr:rowOff>163286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A05F437-8182-2730-CA11-BE0F7A1B3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</xdr:colOff>
      <xdr:row>15</xdr:row>
      <xdr:rowOff>208643</xdr:rowOff>
    </xdr:from>
    <xdr:to>
      <xdr:col>19</xdr:col>
      <xdr:colOff>816429</xdr:colOff>
      <xdr:row>29</xdr:row>
      <xdr:rowOff>156029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2D57367-07A0-1B7C-259C-8A532AD77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825499</xdr:colOff>
      <xdr:row>15</xdr:row>
      <xdr:rowOff>206830</xdr:rowOff>
    </xdr:from>
    <xdr:to>
      <xdr:col>27</xdr:col>
      <xdr:colOff>18142</xdr:colOff>
      <xdr:row>30</xdr:row>
      <xdr:rowOff>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1F9BEFA-BADF-0E4A-A818-E2C7910B2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136072</xdr:colOff>
      <xdr:row>7</xdr:row>
      <xdr:rowOff>36285</xdr:rowOff>
    </xdr:from>
    <xdr:to>
      <xdr:col>25</xdr:col>
      <xdr:colOff>671286</xdr:colOff>
      <xdr:row>8</xdr:row>
      <xdr:rowOff>108856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82932E6-068F-289A-E4FD-4B6C871757BF}"/>
            </a:ext>
          </a:extLst>
        </xdr:cNvPr>
        <xdr:cNvSpPr txBox="1"/>
      </xdr:nvSpPr>
      <xdr:spPr>
        <a:xfrm>
          <a:off x="18179143" y="3637642"/>
          <a:ext cx="3837214" cy="5170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Расчёт выплат по дифференцированному кредиту (по «остатку»)</a:t>
          </a:r>
        </a:p>
      </xdr:txBody>
    </xdr:sp>
    <xdr:clientData/>
  </xdr:twoCellAnchor>
  <xdr:twoCellAnchor>
    <xdr:from>
      <xdr:col>16</xdr:col>
      <xdr:colOff>163286</xdr:colOff>
      <xdr:row>7</xdr:row>
      <xdr:rowOff>36286</xdr:rowOff>
    </xdr:from>
    <xdr:to>
      <xdr:col>20</xdr:col>
      <xdr:colOff>752928</xdr:colOff>
      <xdr:row>8</xdr:row>
      <xdr:rowOff>108857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9BF1E6C-4945-F445-89A4-79DBBFB8A28E}"/>
            </a:ext>
          </a:extLst>
        </xdr:cNvPr>
        <xdr:cNvSpPr txBox="1"/>
      </xdr:nvSpPr>
      <xdr:spPr>
        <a:xfrm>
          <a:off x="13607143" y="3637643"/>
          <a:ext cx="4245428" cy="5170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Расчёт выплат по кредиту по «аннуитету»</a:t>
          </a:r>
        </a:p>
      </xdr:txBody>
    </xdr:sp>
    <xdr:clientData/>
  </xdr:twoCellAnchor>
  <xdr:twoCellAnchor editAs="oneCell">
    <xdr:from>
      <xdr:col>1</xdr:col>
      <xdr:colOff>0</xdr:colOff>
      <xdr:row>62</xdr:row>
      <xdr:rowOff>199571</xdr:rowOff>
    </xdr:from>
    <xdr:to>
      <xdr:col>2</xdr:col>
      <xdr:colOff>101600</xdr:colOff>
      <xdr:row>73</xdr:row>
      <xdr:rowOff>103414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8F6441F5-8C18-C74D-977F-A122D8F2F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5693571"/>
          <a:ext cx="927100" cy="22987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68</xdr:row>
      <xdr:rowOff>0</xdr:rowOff>
    </xdr:from>
    <xdr:to>
      <xdr:col>4</xdr:col>
      <xdr:colOff>0</xdr:colOff>
      <xdr:row>77</xdr:row>
      <xdr:rowOff>41729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4A2E991-16CA-1646-B286-EECB419A2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76500" y="16764000"/>
          <a:ext cx="825500" cy="201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08B83-7426-044C-AD04-D8B839698465}">
  <dimension ref="A1:A25"/>
  <sheetViews>
    <sheetView zoomScaleNormal="100" workbookViewId="0">
      <selection activeCell="K25" sqref="K25"/>
    </sheetView>
  </sheetViews>
  <sheetFormatPr baseColWidth="10" defaultRowHeight="16" x14ac:dyDescent="0.2"/>
  <sheetData>
    <row r="1" spans="1:1" x14ac:dyDescent="0.2">
      <c r="A1" s="1"/>
    </row>
    <row r="2" spans="1:1" x14ac:dyDescent="0.2">
      <c r="A2" s="1"/>
    </row>
    <row r="3" spans="1:1" x14ac:dyDescent="0.2">
      <c r="A3" s="1"/>
    </row>
    <row r="4" spans="1:1" x14ac:dyDescent="0.2">
      <c r="A4" s="1"/>
    </row>
    <row r="5" spans="1:1" x14ac:dyDescent="0.2">
      <c r="A5" s="1"/>
    </row>
    <row r="6" spans="1:1" x14ac:dyDescent="0.2">
      <c r="A6" s="1"/>
    </row>
    <row r="7" spans="1:1" x14ac:dyDescent="0.2">
      <c r="A7" s="1"/>
    </row>
    <row r="8" spans="1:1" x14ac:dyDescent="0.2">
      <c r="A8" s="1"/>
    </row>
    <row r="9" spans="1:1" x14ac:dyDescent="0.2">
      <c r="A9" s="1"/>
    </row>
    <row r="10" spans="1:1" x14ac:dyDescent="0.2">
      <c r="A10" s="1"/>
    </row>
    <row r="11" spans="1:1" x14ac:dyDescent="0.2">
      <c r="A11" s="1"/>
    </row>
    <row r="12" spans="1:1" x14ac:dyDescent="0.2">
      <c r="A12" s="1"/>
    </row>
    <row r="13" spans="1:1" x14ac:dyDescent="0.2">
      <c r="A13" s="1"/>
    </row>
    <row r="14" spans="1:1" x14ac:dyDescent="0.2">
      <c r="A14" s="1"/>
    </row>
    <row r="15" spans="1:1" x14ac:dyDescent="0.2">
      <c r="A15" s="1"/>
    </row>
    <row r="16" spans="1:1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1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F20D-3440-6C4F-AF7C-CEF77186936C}">
  <dimension ref="A1:AE108"/>
  <sheetViews>
    <sheetView tabSelected="1" zoomScale="140" zoomScaleNormal="140" workbookViewId="0">
      <selection sqref="A1:M15"/>
    </sheetView>
  </sheetViews>
  <sheetFormatPr baseColWidth="10" defaultRowHeight="16" x14ac:dyDescent="0.2"/>
  <cols>
    <col min="1" max="14" width="10.83203125" style="12"/>
    <col min="15" max="16" width="12.33203125" style="12" bestFit="1" customWidth="1"/>
    <col min="17" max="17" width="10.83203125" style="12"/>
    <col min="18" max="21" width="12.33203125" style="12" bestFit="1" customWidth="1"/>
    <col min="22" max="16384" width="10.83203125" style="12"/>
  </cols>
  <sheetData>
    <row r="1" spans="1:31" ht="34" customHeight="1" thickTop="1" x14ac:dyDescent="0.2">
      <c r="A1" s="21" t="s">
        <v>0</v>
      </c>
      <c r="B1" s="3" t="s">
        <v>21</v>
      </c>
      <c r="C1" s="3"/>
      <c r="D1" s="4"/>
      <c r="E1" s="5" t="s">
        <v>15</v>
      </c>
      <c r="F1" s="6"/>
      <c r="G1" s="7"/>
      <c r="H1" s="5" t="s">
        <v>16</v>
      </c>
      <c r="I1" s="6"/>
      <c r="J1" s="7"/>
      <c r="K1" s="33" t="s">
        <v>22</v>
      </c>
      <c r="L1" s="34"/>
      <c r="M1" s="35"/>
      <c r="N1" s="42" t="s">
        <v>42</v>
      </c>
      <c r="O1" s="43" t="s">
        <v>43</v>
      </c>
      <c r="P1" s="44" t="s">
        <v>44</v>
      </c>
      <c r="Q1" s="42" t="s">
        <v>35</v>
      </c>
      <c r="R1" s="43" t="s">
        <v>36</v>
      </c>
      <c r="S1" s="43" t="s">
        <v>37</v>
      </c>
      <c r="T1" s="43" t="s">
        <v>38</v>
      </c>
      <c r="U1" s="44" t="s">
        <v>40</v>
      </c>
      <c r="V1" s="42" t="s">
        <v>35</v>
      </c>
      <c r="W1" s="43" t="s">
        <v>36</v>
      </c>
      <c r="X1" s="43" t="s">
        <v>37</v>
      </c>
      <c r="Y1" s="43" t="s">
        <v>38</v>
      </c>
      <c r="Z1" s="44" t="s">
        <v>40</v>
      </c>
      <c r="AA1" s="11"/>
    </row>
    <row r="2" spans="1:31" ht="27" customHeight="1" x14ac:dyDescent="0.2">
      <c r="A2" s="22"/>
      <c r="B2" s="28" t="s">
        <v>17</v>
      </c>
      <c r="C2" s="29"/>
      <c r="D2" s="30">
        <v>20</v>
      </c>
      <c r="E2" s="31" t="s">
        <v>18</v>
      </c>
      <c r="F2" s="29"/>
      <c r="G2" s="30">
        <v>15</v>
      </c>
      <c r="H2" s="31" t="s">
        <v>19</v>
      </c>
      <c r="I2" s="29"/>
      <c r="J2" s="30">
        <v>15</v>
      </c>
      <c r="K2" s="9" t="s">
        <v>24</v>
      </c>
      <c r="L2" s="10"/>
      <c r="M2" s="8">
        <f>J2+G2+D2</f>
        <v>50</v>
      </c>
      <c r="N2" s="37"/>
      <c r="O2" s="38"/>
      <c r="P2" s="45"/>
      <c r="Q2" s="37"/>
      <c r="R2" s="38"/>
      <c r="S2" s="38"/>
      <c r="T2" s="38"/>
      <c r="U2" s="45"/>
      <c r="V2" s="37"/>
      <c r="W2" s="38"/>
      <c r="X2" s="38"/>
      <c r="Y2" s="38"/>
      <c r="Z2" s="45"/>
      <c r="AA2" s="11" t="s">
        <v>25</v>
      </c>
      <c r="AD2" s="11" t="s">
        <v>45</v>
      </c>
      <c r="AE2" s="12">
        <v>150</v>
      </c>
    </row>
    <row r="3" spans="1:31" ht="34" x14ac:dyDescent="0.2">
      <c r="A3" s="23"/>
      <c r="B3" s="24" t="s">
        <v>13</v>
      </c>
      <c r="C3" s="25" t="s">
        <v>14</v>
      </c>
      <c r="D3" s="26" t="s">
        <v>20</v>
      </c>
      <c r="E3" s="27" t="s">
        <v>13</v>
      </c>
      <c r="F3" s="25" t="s">
        <v>14</v>
      </c>
      <c r="G3" s="26" t="s">
        <v>20</v>
      </c>
      <c r="H3" s="27" t="s">
        <v>13</v>
      </c>
      <c r="I3" s="25" t="s">
        <v>14</v>
      </c>
      <c r="J3" s="26" t="s">
        <v>20</v>
      </c>
      <c r="K3" s="27" t="s">
        <v>13</v>
      </c>
      <c r="L3" s="25" t="s">
        <v>14</v>
      </c>
      <c r="M3" s="26" t="s">
        <v>20</v>
      </c>
      <c r="N3" s="39"/>
      <c r="O3" s="40"/>
      <c r="P3" s="46"/>
      <c r="Q3" s="39"/>
      <c r="R3" s="40"/>
      <c r="S3" s="40"/>
      <c r="T3" s="40"/>
      <c r="U3" s="46"/>
      <c r="V3" s="39"/>
      <c r="W3" s="40"/>
      <c r="X3" s="40"/>
      <c r="Y3" s="40"/>
      <c r="Z3" s="46"/>
      <c r="AA3" s="11" t="s">
        <v>26</v>
      </c>
      <c r="AB3" s="12">
        <f>16/12</f>
        <v>1.3333333333333333</v>
      </c>
      <c r="AC3" s="12" t="s">
        <v>27</v>
      </c>
      <c r="AD3" s="11" t="s">
        <v>46</v>
      </c>
      <c r="AE3" s="12">
        <v>16</v>
      </c>
    </row>
    <row r="4" spans="1:31" ht="51" x14ac:dyDescent="0.2">
      <c r="A4" s="14" t="s">
        <v>1</v>
      </c>
      <c r="B4" s="11">
        <v>100</v>
      </c>
      <c r="C4" s="12">
        <v>80</v>
      </c>
      <c r="D4" s="8">
        <f>B4+D2-C4</f>
        <v>40</v>
      </c>
      <c r="E4" s="13">
        <v>50</v>
      </c>
      <c r="F4" s="12">
        <v>35</v>
      </c>
      <c r="G4" s="8">
        <f>G2+E4-F4</f>
        <v>30</v>
      </c>
      <c r="H4" s="13">
        <v>80</v>
      </c>
      <c r="I4" s="12">
        <v>65</v>
      </c>
      <c r="J4" s="8">
        <f>J2+H4-I4</f>
        <v>30</v>
      </c>
      <c r="K4" s="13">
        <f>B4+E4+H4</f>
        <v>230</v>
      </c>
      <c r="L4" s="12">
        <f>C4+F4+I4</f>
        <v>180</v>
      </c>
      <c r="M4" s="8">
        <f>D4+G4+J4</f>
        <v>100</v>
      </c>
      <c r="N4" s="13"/>
      <c r="P4" s="8">
        <f>M4</f>
        <v>100</v>
      </c>
      <c r="Q4" s="13">
        <v>150</v>
      </c>
      <c r="R4" s="12">
        <v>1</v>
      </c>
      <c r="S4" s="12">
        <f>$AE$4</f>
        <v>1.3333333333333333</v>
      </c>
      <c r="T4" s="12">
        <v>50</v>
      </c>
      <c r="U4" s="8">
        <f>T4+S4</f>
        <v>51.333333333333336</v>
      </c>
      <c r="V4" s="13">
        <v>150</v>
      </c>
      <c r="W4" s="12">
        <v>1</v>
      </c>
      <c r="X4" s="12">
        <f>16/12</f>
        <v>1.3333333333333333</v>
      </c>
      <c r="Y4" s="12">
        <v>50</v>
      </c>
      <c r="Z4" s="8">
        <f>Y4+X4</f>
        <v>51.333333333333336</v>
      </c>
      <c r="AA4" s="11" t="s">
        <v>28</v>
      </c>
      <c r="AB4" s="12">
        <f>(150*X4)/100</f>
        <v>2</v>
      </c>
      <c r="AC4" s="12" t="s">
        <v>29</v>
      </c>
      <c r="AD4" s="11" t="s">
        <v>48</v>
      </c>
      <c r="AE4" s="12">
        <f>AE3/12</f>
        <v>1.3333333333333333</v>
      </c>
    </row>
    <row r="5" spans="1:31" ht="51" x14ac:dyDescent="0.2">
      <c r="A5" s="15" t="s">
        <v>2</v>
      </c>
      <c r="B5" s="11">
        <v>75</v>
      </c>
      <c r="C5" s="12">
        <v>120</v>
      </c>
      <c r="D5" s="8">
        <f>D4+B5-C5</f>
        <v>-5</v>
      </c>
      <c r="E5" s="13">
        <v>30</v>
      </c>
      <c r="F5" s="12">
        <v>40</v>
      </c>
      <c r="G5" s="8">
        <f>G4+E5-F5</f>
        <v>20</v>
      </c>
      <c r="H5" s="13">
        <v>70</v>
      </c>
      <c r="I5" s="12">
        <v>65</v>
      </c>
      <c r="J5" s="8">
        <f>J4+H5-I5</f>
        <v>35</v>
      </c>
      <c r="K5" s="13">
        <f t="shared" ref="K5:K15" si="0">B5+E5+H5</f>
        <v>175</v>
      </c>
      <c r="L5" s="12">
        <f t="shared" ref="L5:L15" si="1">C5+F5+I5</f>
        <v>225</v>
      </c>
      <c r="M5" s="8">
        <f>D5+G5+J5</f>
        <v>50</v>
      </c>
      <c r="N5" s="13"/>
      <c r="P5" s="8">
        <f t="shared" ref="P5:P6" si="2">M5</f>
        <v>50</v>
      </c>
      <c r="Q5" s="13">
        <v>100</v>
      </c>
      <c r="R5" s="12">
        <v>2</v>
      </c>
      <c r="S5" s="12">
        <f t="shared" ref="S5:S6" si="3">$AE$4</f>
        <v>1.3333333333333333</v>
      </c>
      <c r="T5" s="12">
        <v>50</v>
      </c>
      <c r="U5" s="8">
        <f t="shared" ref="U5:U6" si="4">T5+S5</f>
        <v>51.333333333333336</v>
      </c>
      <c r="V5" s="13">
        <v>100</v>
      </c>
      <c r="W5" s="12">
        <v>2</v>
      </c>
      <c r="X5" s="12">
        <f>(100*X4)/100</f>
        <v>1.333333333333333</v>
      </c>
      <c r="Y5" s="12">
        <v>50</v>
      </c>
      <c r="Z5" s="8">
        <f t="shared" ref="Z5:Z6" si="5">Y5+X5</f>
        <v>51.333333333333336</v>
      </c>
      <c r="AA5" s="11">
        <f>150-100</f>
        <v>50</v>
      </c>
      <c r="AB5" s="12">
        <f>AA5+AB4</f>
        <v>52</v>
      </c>
      <c r="AC5" s="12" t="s">
        <v>30</v>
      </c>
      <c r="AD5" s="12" t="s">
        <v>49</v>
      </c>
      <c r="AE5" s="12">
        <f>50+AE4</f>
        <v>51.333333333333336</v>
      </c>
    </row>
    <row r="6" spans="1:31" ht="34" x14ac:dyDescent="0.2">
      <c r="A6" s="15" t="s">
        <v>3</v>
      </c>
      <c r="B6" s="11">
        <v>50</v>
      </c>
      <c r="C6" s="12">
        <v>120</v>
      </c>
      <c r="D6" s="8">
        <f>D5+B6-C6</f>
        <v>-75</v>
      </c>
      <c r="E6" s="13">
        <v>15</v>
      </c>
      <c r="F6" s="12">
        <v>50</v>
      </c>
      <c r="G6" s="8">
        <f t="shared" ref="G6:G15" si="6">G5+E6-F6</f>
        <v>-15</v>
      </c>
      <c r="H6" s="13">
        <v>50</v>
      </c>
      <c r="I6" s="12">
        <v>145</v>
      </c>
      <c r="J6" s="8">
        <f t="shared" ref="J6:J15" si="7">J5+H6-I6</f>
        <v>-60</v>
      </c>
      <c r="K6" s="13">
        <f t="shared" si="0"/>
        <v>115</v>
      </c>
      <c r="L6" s="12">
        <f t="shared" si="1"/>
        <v>315</v>
      </c>
      <c r="M6" s="8">
        <f t="shared" ref="M5:M15" si="8">D6+G6+J6</f>
        <v>-150</v>
      </c>
      <c r="N6" s="13">
        <v>150</v>
      </c>
      <c r="P6" s="8">
        <v>0</v>
      </c>
      <c r="Q6" s="13">
        <v>50</v>
      </c>
      <c r="R6" s="12">
        <v>3</v>
      </c>
      <c r="S6" s="12">
        <f t="shared" si="3"/>
        <v>1.3333333333333333</v>
      </c>
      <c r="T6" s="12">
        <v>50</v>
      </c>
      <c r="U6" s="8">
        <f t="shared" si="4"/>
        <v>51.333333333333336</v>
      </c>
      <c r="V6" s="13">
        <v>50</v>
      </c>
      <c r="W6" s="12">
        <v>3</v>
      </c>
      <c r="X6" s="12">
        <f>(AA7*X5)/100</f>
        <v>0.66666666666666652</v>
      </c>
      <c r="Y6" s="12">
        <v>50</v>
      </c>
      <c r="Z6" s="8">
        <f t="shared" si="5"/>
        <v>50.666666666666664</v>
      </c>
      <c r="AA6" s="11" t="s">
        <v>31</v>
      </c>
      <c r="AC6" s="12" t="s">
        <v>29</v>
      </c>
      <c r="AD6" s="11" t="s">
        <v>47</v>
      </c>
      <c r="AE6" s="12">
        <f>AE4*3</f>
        <v>4</v>
      </c>
    </row>
    <row r="7" spans="1:31" ht="52" thickBot="1" x14ac:dyDescent="0.25">
      <c r="A7" s="15" t="s">
        <v>4</v>
      </c>
      <c r="B7" s="11">
        <v>70</v>
      </c>
      <c r="C7" s="12">
        <v>50</v>
      </c>
      <c r="D7" s="8">
        <f t="shared" ref="D7:D15" si="9">D6+B7-C7</f>
        <v>-55</v>
      </c>
      <c r="E7" s="13">
        <v>30</v>
      </c>
      <c r="F7" s="12">
        <v>30</v>
      </c>
      <c r="G7" s="8">
        <f t="shared" si="6"/>
        <v>-15</v>
      </c>
      <c r="H7" s="13">
        <v>60</v>
      </c>
      <c r="I7" s="12">
        <v>20</v>
      </c>
      <c r="J7" s="8">
        <f>J6+H7-I7</f>
        <v>-20</v>
      </c>
      <c r="K7" s="13">
        <f t="shared" si="0"/>
        <v>160</v>
      </c>
      <c r="L7" s="12">
        <f t="shared" si="1"/>
        <v>100</v>
      </c>
      <c r="M7" s="8">
        <f t="shared" si="8"/>
        <v>-90</v>
      </c>
      <c r="N7" s="13"/>
      <c r="O7" s="12">
        <f>Z4</f>
        <v>51.333333333333336</v>
      </c>
      <c r="P7" s="8">
        <f>(N6-O7)+K7-L7</f>
        <v>158.66666666666663</v>
      </c>
      <c r="Q7" s="47" t="s">
        <v>41</v>
      </c>
      <c r="R7" s="18"/>
      <c r="S7" s="18">
        <f>SUM(S4:S6)</f>
        <v>4</v>
      </c>
      <c r="T7" s="18">
        <f>SUM(T4:T6)</f>
        <v>150</v>
      </c>
      <c r="U7" s="19">
        <f>SUM(U4:U6)</f>
        <v>154</v>
      </c>
      <c r="V7" s="47" t="s">
        <v>41</v>
      </c>
      <c r="W7" s="18"/>
      <c r="X7" s="18">
        <f>SUM(X4:X6)</f>
        <v>3.3333333333333326</v>
      </c>
      <c r="Y7" s="18">
        <f t="shared" ref="Y7:Z7" si="10">SUM(Y4:Y6)</f>
        <v>150</v>
      </c>
      <c r="Z7" s="19">
        <f t="shared" si="10"/>
        <v>153.33333333333334</v>
      </c>
      <c r="AA7" s="11">
        <v>50</v>
      </c>
      <c r="AB7" s="12">
        <f>50+X5</f>
        <v>51.333333333333336</v>
      </c>
      <c r="AC7" s="12" t="s">
        <v>32</v>
      </c>
      <c r="AD7" s="11" t="s">
        <v>50</v>
      </c>
      <c r="AE7" s="12">
        <f>AE5*3</f>
        <v>154</v>
      </c>
    </row>
    <row r="8" spans="1:31" ht="35" thickTop="1" x14ac:dyDescent="0.2">
      <c r="A8" s="15" t="s">
        <v>5</v>
      </c>
      <c r="B8" s="11">
        <v>85</v>
      </c>
      <c r="C8" s="12">
        <v>80</v>
      </c>
      <c r="D8" s="8">
        <f t="shared" si="9"/>
        <v>-50</v>
      </c>
      <c r="E8" s="13">
        <v>45</v>
      </c>
      <c r="F8" s="12">
        <v>30</v>
      </c>
      <c r="G8" s="8">
        <f t="shared" si="6"/>
        <v>0</v>
      </c>
      <c r="H8" s="13">
        <v>70</v>
      </c>
      <c r="I8" s="12">
        <v>35</v>
      </c>
      <c r="J8" s="8">
        <f t="shared" si="7"/>
        <v>15</v>
      </c>
      <c r="K8" s="13">
        <f t="shared" si="0"/>
        <v>200</v>
      </c>
      <c r="L8" s="12">
        <f t="shared" si="1"/>
        <v>145</v>
      </c>
      <c r="M8" s="8">
        <f t="shared" si="8"/>
        <v>-35</v>
      </c>
      <c r="N8" s="13"/>
      <c r="O8" s="12">
        <f t="shared" ref="O8:O9" si="11">Z5</f>
        <v>51.333333333333336</v>
      </c>
      <c r="P8" s="8">
        <f>P7+K8-O8-L8</f>
        <v>162.33333333333331</v>
      </c>
      <c r="Q8" s="41"/>
      <c r="R8" s="32"/>
      <c r="S8" s="32"/>
      <c r="T8" s="32"/>
      <c r="U8" s="32"/>
      <c r="V8" s="41"/>
      <c r="W8" s="32"/>
      <c r="X8" s="32"/>
      <c r="Y8" s="32"/>
      <c r="Z8" s="32"/>
      <c r="AA8" s="12" t="s">
        <v>33</v>
      </c>
      <c r="AC8" s="12" t="s">
        <v>29</v>
      </c>
      <c r="AD8" s="11" t="s">
        <v>51</v>
      </c>
      <c r="AE8" s="12">
        <f>AE7-Z7</f>
        <v>0.66666666666665719</v>
      </c>
    </row>
    <row r="9" spans="1:31" ht="17" x14ac:dyDescent="0.2">
      <c r="A9" s="15" t="s">
        <v>6</v>
      </c>
      <c r="B9" s="11">
        <v>60</v>
      </c>
      <c r="C9" s="12">
        <v>40</v>
      </c>
      <c r="D9" s="8">
        <f t="shared" si="9"/>
        <v>-30</v>
      </c>
      <c r="E9" s="13">
        <v>20</v>
      </c>
      <c r="F9" s="12">
        <v>20</v>
      </c>
      <c r="G9" s="8">
        <f t="shared" si="6"/>
        <v>0</v>
      </c>
      <c r="H9" s="13">
        <v>50</v>
      </c>
      <c r="I9" s="12">
        <v>20</v>
      </c>
      <c r="J9" s="8">
        <f t="shared" si="7"/>
        <v>45</v>
      </c>
      <c r="K9" s="13">
        <f t="shared" si="0"/>
        <v>130</v>
      </c>
      <c r="L9" s="12">
        <f t="shared" si="1"/>
        <v>80</v>
      </c>
      <c r="M9" s="8">
        <f t="shared" si="8"/>
        <v>15</v>
      </c>
      <c r="N9" s="13"/>
      <c r="O9" s="12">
        <f t="shared" si="11"/>
        <v>50.666666666666664</v>
      </c>
      <c r="P9" s="8">
        <f>P8+K9-O9-L9</f>
        <v>161.66666666666666</v>
      </c>
      <c r="Q9" s="11"/>
      <c r="AA9" s="12" t="s">
        <v>34</v>
      </c>
      <c r="AB9" s="12">
        <f>50+X6</f>
        <v>50.666666666666664</v>
      </c>
    </row>
    <row r="10" spans="1:31" ht="17" x14ac:dyDescent="0.2">
      <c r="A10" s="15" t="s">
        <v>7</v>
      </c>
      <c r="B10" s="11">
        <v>120</v>
      </c>
      <c r="C10" s="12">
        <v>45</v>
      </c>
      <c r="D10" s="8">
        <f t="shared" si="9"/>
        <v>45</v>
      </c>
      <c r="E10" s="13">
        <v>50</v>
      </c>
      <c r="F10" s="12">
        <v>25</v>
      </c>
      <c r="G10" s="8">
        <f t="shared" si="6"/>
        <v>25</v>
      </c>
      <c r="H10" s="13">
        <v>35</v>
      </c>
      <c r="I10" s="12">
        <v>20</v>
      </c>
      <c r="J10" s="8">
        <f t="shared" si="7"/>
        <v>60</v>
      </c>
      <c r="K10" s="13">
        <f t="shared" si="0"/>
        <v>205</v>
      </c>
      <c r="L10" s="12">
        <f t="shared" si="1"/>
        <v>90</v>
      </c>
      <c r="M10" s="8">
        <f t="shared" si="8"/>
        <v>130</v>
      </c>
      <c r="N10" s="13"/>
      <c r="P10" s="8">
        <f>M10+P9</f>
        <v>291.66666666666663</v>
      </c>
      <c r="Q10" s="11"/>
      <c r="V10" s="11"/>
    </row>
    <row r="11" spans="1:31" ht="17" x14ac:dyDescent="0.2">
      <c r="A11" s="15" t="s">
        <v>8</v>
      </c>
      <c r="B11" s="11">
        <v>110</v>
      </c>
      <c r="C11" s="12">
        <v>35</v>
      </c>
      <c r="D11" s="8">
        <f t="shared" si="9"/>
        <v>120</v>
      </c>
      <c r="E11" s="13">
        <v>50</v>
      </c>
      <c r="F11" s="12">
        <v>15</v>
      </c>
      <c r="G11" s="8">
        <f t="shared" si="6"/>
        <v>60</v>
      </c>
      <c r="H11" s="13">
        <v>90</v>
      </c>
      <c r="I11" s="12">
        <v>25</v>
      </c>
      <c r="J11" s="8">
        <f t="shared" si="7"/>
        <v>125</v>
      </c>
      <c r="K11" s="13">
        <f t="shared" si="0"/>
        <v>250</v>
      </c>
      <c r="L11" s="12">
        <f t="shared" si="1"/>
        <v>75</v>
      </c>
      <c r="M11" s="8">
        <f t="shared" si="8"/>
        <v>305</v>
      </c>
      <c r="N11" s="13"/>
      <c r="P11" s="8">
        <f>M11+P10</f>
        <v>596.66666666666663</v>
      </c>
      <c r="Q11" s="11"/>
      <c r="V11" s="11"/>
    </row>
    <row r="12" spans="1:31" ht="17" x14ac:dyDescent="0.2">
      <c r="A12" s="15" t="s">
        <v>9</v>
      </c>
      <c r="B12" s="11">
        <v>90</v>
      </c>
      <c r="C12" s="12">
        <v>150</v>
      </c>
      <c r="D12" s="8">
        <f t="shared" si="9"/>
        <v>60</v>
      </c>
      <c r="E12" s="13">
        <v>50</v>
      </c>
      <c r="F12" s="12">
        <v>110</v>
      </c>
      <c r="G12" s="8">
        <f t="shared" si="6"/>
        <v>0</v>
      </c>
      <c r="H12" s="13">
        <v>60</v>
      </c>
      <c r="I12" s="12">
        <v>80</v>
      </c>
      <c r="J12" s="8">
        <f t="shared" si="7"/>
        <v>105</v>
      </c>
      <c r="K12" s="13">
        <f t="shared" si="0"/>
        <v>200</v>
      </c>
      <c r="L12" s="12">
        <f t="shared" si="1"/>
        <v>340</v>
      </c>
      <c r="M12" s="8">
        <f t="shared" si="8"/>
        <v>165</v>
      </c>
      <c r="N12" s="13"/>
      <c r="P12" s="8">
        <f t="shared" ref="P11:P15" si="12">M12+P11</f>
        <v>761.66666666666663</v>
      </c>
      <c r="Q12" s="11"/>
      <c r="W12" s="12" t="s">
        <v>39</v>
      </c>
    </row>
    <row r="13" spans="1:31" ht="17" x14ac:dyDescent="0.2">
      <c r="A13" s="15" t="s">
        <v>10</v>
      </c>
      <c r="B13" s="11">
        <v>150</v>
      </c>
      <c r="C13" s="12">
        <v>160</v>
      </c>
      <c r="D13" s="8">
        <f t="shared" si="9"/>
        <v>50</v>
      </c>
      <c r="E13" s="13">
        <v>70</v>
      </c>
      <c r="F13" s="12">
        <v>90</v>
      </c>
      <c r="G13" s="8">
        <f t="shared" si="6"/>
        <v>-20</v>
      </c>
      <c r="H13" s="13">
        <v>125</v>
      </c>
      <c r="I13" s="12">
        <v>130</v>
      </c>
      <c r="J13" s="8">
        <f t="shared" si="7"/>
        <v>100</v>
      </c>
      <c r="K13" s="13">
        <f t="shared" si="0"/>
        <v>345</v>
      </c>
      <c r="L13" s="12">
        <f t="shared" si="1"/>
        <v>380</v>
      </c>
      <c r="M13" s="8">
        <f t="shared" si="8"/>
        <v>130</v>
      </c>
      <c r="N13" s="13"/>
      <c r="P13" s="8">
        <f t="shared" si="12"/>
        <v>891.66666666666663</v>
      </c>
      <c r="Q13" s="11"/>
      <c r="V13" s="11"/>
    </row>
    <row r="14" spans="1:31" ht="17" x14ac:dyDescent="0.2">
      <c r="A14" s="15" t="s">
        <v>11</v>
      </c>
      <c r="B14" s="11">
        <v>55</v>
      </c>
      <c r="C14" s="12">
        <v>35</v>
      </c>
      <c r="D14" s="8">
        <f t="shared" si="9"/>
        <v>70</v>
      </c>
      <c r="E14" s="13">
        <v>40</v>
      </c>
      <c r="F14" s="12">
        <v>20</v>
      </c>
      <c r="G14" s="8">
        <f t="shared" si="6"/>
        <v>0</v>
      </c>
      <c r="H14" s="13">
        <v>35</v>
      </c>
      <c r="I14" s="12">
        <v>25</v>
      </c>
      <c r="J14" s="8">
        <f t="shared" si="7"/>
        <v>110</v>
      </c>
      <c r="K14" s="13">
        <f t="shared" si="0"/>
        <v>130</v>
      </c>
      <c r="L14" s="12">
        <f t="shared" si="1"/>
        <v>80</v>
      </c>
      <c r="M14" s="8">
        <f t="shared" si="8"/>
        <v>180</v>
      </c>
      <c r="N14" s="13"/>
      <c r="P14" s="8">
        <f t="shared" si="12"/>
        <v>1071.6666666666665</v>
      </c>
      <c r="Q14" s="11"/>
      <c r="V14" s="11"/>
    </row>
    <row r="15" spans="1:31" ht="18" thickBot="1" x14ac:dyDescent="0.25">
      <c r="A15" s="16" t="s">
        <v>12</v>
      </c>
      <c r="B15" s="17">
        <v>45</v>
      </c>
      <c r="C15" s="18">
        <v>20</v>
      </c>
      <c r="D15" s="19">
        <f t="shared" si="9"/>
        <v>95</v>
      </c>
      <c r="E15" s="20">
        <v>20</v>
      </c>
      <c r="F15" s="18">
        <v>10</v>
      </c>
      <c r="G15" s="19">
        <f>G14+E15-F15</f>
        <v>10</v>
      </c>
      <c r="H15" s="20">
        <v>30</v>
      </c>
      <c r="I15" s="18">
        <v>15</v>
      </c>
      <c r="J15" s="19">
        <f t="shared" si="7"/>
        <v>125</v>
      </c>
      <c r="K15" s="20">
        <f>B15+E15+H15</f>
        <v>95</v>
      </c>
      <c r="L15" s="18">
        <f t="shared" si="1"/>
        <v>45</v>
      </c>
      <c r="M15" s="19">
        <f t="shared" si="8"/>
        <v>230</v>
      </c>
      <c r="N15" s="20"/>
      <c r="O15" s="18"/>
      <c r="P15" s="19">
        <f>M15+P14</f>
        <v>1301.6666666666665</v>
      </c>
      <c r="Q15" s="11"/>
      <c r="V15" s="11"/>
    </row>
    <row r="16" spans="1:31" ht="17" thickTop="1" x14ac:dyDescent="0.2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</row>
    <row r="44" spans="1:18" ht="17" thickBot="1" x14ac:dyDescent="0.25">
      <c r="O44" s="18"/>
      <c r="P44" s="18"/>
      <c r="Q44" s="18"/>
      <c r="R44" s="18"/>
    </row>
    <row r="45" spans="1:18" ht="17" customHeight="1" thickTop="1" x14ac:dyDescent="0.2">
      <c r="A45" s="36" t="s">
        <v>0</v>
      </c>
      <c r="B45" s="49" t="s">
        <v>21</v>
      </c>
      <c r="C45" s="10"/>
      <c r="D45" s="49" t="s">
        <v>15</v>
      </c>
      <c r="E45" s="10"/>
      <c r="F45" s="49" t="s">
        <v>16</v>
      </c>
      <c r="G45" s="10"/>
      <c r="K45" s="33" t="s">
        <v>22</v>
      </c>
      <c r="L45" s="34"/>
      <c r="M45" s="35"/>
      <c r="O45" s="21" t="s">
        <v>0</v>
      </c>
      <c r="P45" s="6" t="s">
        <v>21</v>
      </c>
      <c r="Q45" s="6"/>
      <c r="R45" s="7"/>
    </row>
    <row r="46" spans="1:18" ht="16" customHeight="1" x14ac:dyDescent="0.2">
      <c r="A46" s="38"/>
      <c r="B46" s="49" t="s">
        <v>17</v>
      </c>
      <c r="C46" s="10"/>
      <c r="D46" s="49" t="s">
        <v>18</v>
      </c>
      <c r="E46" s="10"/>
      <c r="F46" s="12" t="s">
        <v>19</v>
      </c>
      <c r="K46" s="9" t="s">
        <v>24</v>
      </c>
      <c r="L46" s="10"/>
      <c r="M46" s="8"/>
      <c r="O46" s="22"/>
      <c r="P46" s="28" t="s">
        <v>17</v>
      </c>
      <c r="Q46" s="29"/>
      <c r="R46" s="30">
        <v>20</v>
      </c>
    </row>
    <row r="47" spans="1:18" ht="34" x14ac:dyDescent="0.2">
      <c r="A47" s="40"/>
      <c r="B47" s="12" t="s">
        <v>13</v>
      </c>
      <c r="C47" s="12" t="s">
        <v>14</v>
      </c>
      <c r="D47" s="12" t="s">
        <v>13</v>
      </c>
      <c r="E47" s="12" t="s">
        <v>14</v>
      </c>
      <c r="F47" s="12" t="s">
        <v>13</v>
      </c>
      <c r="G47" s="12" t="s">
        <v>14</v>
      </c>
      <c r="K47" s="27" t="s">
        <v>13</v>
      </c>
      <c r="L47" s="25" t="s">
        <v>14</v>
      </c>
      <c r="M47" s="26"/>
      <c r="O47" s="23"/>
      <c r="P47" s="24" t="s">
        <v>13</v>
      </c>
      <c r="Q47" s="25" t="s">
        <v>14</v>
      </c>
      <c r="R47" s="26" t="s">
        <v>20</v>
      </c>
    </row>
    <row r="48" spans="1:18" ht="17" x14ac:dyDescent="0.2">
      <c r="A48" s="12" t="s">
        <v>1</v>
      </c>
      <c r="B48" s="12">
        <v>100</v>
      </c>
      <c r="C48" s="12">
        <v>80</v>
      </c>
      <c r="D48" s="12">
        <v>50</v>
      </c>
      <c r="E48" s="12">
        <v>35</v>
      </c>
      <c r="F48" s="12">
        <v>80</v>
      </c>
      <c r="G48" s="12">
        <v>65</v>
      </c>
      <c r="K48" s="13">
        <f>B48+D48+F48</f>
        <v>230</v>
      </c>
      <c r="L48" s="12">
        <f>C48+E48+G48</f>
        <v>180</v>
      </c>
      <c r="M48" s="8"/>
      <c r="O48" s="14" t="s">
        <v>1</v>
      </c>
      <c r="P48" s="11">
        <v>100</v>
      </c>
      <c r="Q48" s="12">
        <v>80</v>
      </c>
      <c r="R48" s="8">
        <f>P48+R46-Q48</f>
        <v>40</v>
      </c>
    </row>
    <row r="49" spans="1:18" ht="17" x14ac:dyDescent="0.2">
      <c r="A49" s="12" t="s">
        <v>2</v>
      </c>
      <c r="B49" s="12">
        <v>75</v>
      </c>
      <c r="C49" s="12">
        <v>120</v>
      </c>
      <c r="D49" s="12">
        <v>30</v>
      </c>
      <c r="E49" s="12">
        <v>40</v>
      </c>
      <c r="F49" s="12">
        <v>70</v>
      </c>
      <c r="G49" s="12">
        <v>65</v>
      </c>
      <c r="K49" s="13">
        <f>B49+D49+F49</f>
        <v>175</v>
      </c>
      <c r="L49" s="12">
        <f>C49+E49+G49</f>
        <v>225</v>
      </c>
      <c r="M49" s="8"/>
      <c r="O49" s="15" t="s">
        <v>2</v>
      </c>
      <c r="P49" s="11">
        <v>75</v>
      </c>
      <c r="Q49" s="12">
        <v>120</v>
      </c>
      <c r="R49" s="8">
        <f>R48+P49-Q49</f>
        <v>-5</v>
      </c>
    </row>
    <row r="50" spans="1:18" ht="17" x14ac:dyDescent="0.2">
      <c r="A50" s="12" t="s">
        <v>3</v>
      </c>
      <c r="B50" s="12">
        <v>50</v>
      </c>
      <c r="C50" s="12">
        <v>120</v>
      </c>
      <c r="D50" s="12">
        <v>15</v>
      </c>
      <c r="E50" s="12">
        <v>50</v>
      </c>
      <c r="F50" s="12">
        <v>50</v>
      </c>
      <c r="G50" s="12">
        <v>145</v>
      </c>
      <c r="K50" s="13">
        <f>B50+D50+F50</f>
        <v>115</v>
      </c>
      <c r="L50" s="12">
        <f>C50+E50+G50</f>
        <v>315</v>
      </c>
      <c r="M50" s="8"/>
      <c r="O50" s="15" t="s">
        <v>3</v>
      </c>
      <c r="P50" s="11">
        <v>50</v>
      </c>
      <c r="Q50" s="12">
        <v>120</v>
      </c>
      <c r="R50" s="8">
        <f>R49+P50-Q50</f>
        <v>-75</v>
      </c>
    </row>
    <row r="51" spans="1:18" ht="17" x14ac:dyDescent="0.2">
      <c r="A51" s="12" t="s">
        <v>4</v>
      </c>
      <c r="B51" s="12">
        <v>70</v>
      </c>
      <c r="C51" s="12">
        <v>50</v>
      </c>
      <c r="D51" s="12">
        <v>30</v>
      </c>
      <c r="E51" s="12">
        <v>30</v>
      </c>
      <c r="F51" s="12">
        <v>60</v>
      </c>
      <c r="G51" s="12">
        <v>20</v>
      </c>
      <c r="K51" s="13">
        <f>B51+D51+F51</f>
        <v>160</v>
      </c>
      <c r="L51" s="12">
        <f>C51+E51+G51</f>
        <v>100</v>
      </c>
      <c r="M51" s="8"/>
      <c r="O51" s="15" t="s">
        <v>4</v>
      </c>
      <c r="P51" s="11">
        <v>70</v>
      </c>
      <c r="Q51" s="12">
        <v>50</v>
      </c>
      <c r="R51" s="8">
        <f t="shared" ref="R51:R59" si="13">R50+P51-Q51</f>
        <v>-55</v>
      </c>
    </row>
    <row r="52" spans="1:18" ht="17" x14ac:dyDescent="0.2">
      <c r="A52" s="12" t="s">
        <v>5</v>
      </c>
      <c r="B52" s="12">
        <v>85</v>
      </c>
      <c r="C52" s="12">
        <v>80</v>
      </c>
      <c r="D52" s="12">
        <v>45</v>
      </c>
      <c r="E52" s="12">
        <v>30</v>
      </c>
      <c r="F52" s="12">
        <v>70</v>
      </c>
      <c r="G52" s="12">
        <v>35</v>
      </c>
      <c r="K52" s="13">
        <f>B52+D52+F52</f>
        <v>200</v>
      </c>
      <c r="L52" s="12">
        <f>C52+E52+G52</f>
        <v>145</v>
      </c>
      <c r="M52" s="8"/>
      <c r="O52" s="15" t="s">
        <v>5</v>
      </c>
      <c r="P52" s="11">
        <v>85</v>
      </c>
      <c r="Q52" s="12">
        <v>80</v>
      </c>
      <c r="R52" s="8">
        <f t="shared" si="13"/>
        <v>-50</v>
      </c>
    </row>
    <row r="53" spans="1:18" ht="17" x14ac:dyDescent="0.2">
      <c r="A53" s="12" t="s">
        <v>6</v>
      </c>
      <c r="B53" s="12">
        <v>60</v>
      </c>
      <c r="C53" s="12">
        <v>40</v>
      </c>
      <c r="D53" s="12">
        <v>20</v>
      </c>
      <c r="E53" s="12">
        <v>20</v>
      </c>
      <c r="F53" s="12">
        <v>50</v>
      </c>
      <c r="G53" s="12">
        <v>20</v>
      </c>
      <c r="K53" s="13">
        <f>B53+D53+F53</f>
        <v>130</v>
      </c>
      <c r="L53" s="12">
        <f>C53+E53+G53</f>
        <v>80</v>
      </c>
      <c r="M53" s="8"/>
      <c r="O53" s="15" t="s">
        <v>6</v>
      </c>
      <c r="P53" s="11">
        <v>60</v>
      </c>
      <c r="Q53" s="12">
        <v>40</v>
      </c>
      <c r="R53" s="8">
        <f t="shared" si="13"/>
        <v>-30</v>
      </c>
    </row>
    <row r="54" spans="1:18" ht="17" x14ac:dyDescent="0.2">
      <c r="A54" s="12" t="s">
        <v>7</v>
      </c>
      <c r="B54" s="12">
        <v>120</v>
      </c>
      <c r="C54" s="12">
        <v>45</v>
      </c>
      <c r="D54" s="12">
        <v>50</v>
      </c>
      <c r="E54" s="12">
        <v>25</v>
      </c>
      <c r="F54" s="12">
        <v>35</v>
      </c>
      <c r="G54" s="12">
        <v>20</v>
      </c>
      <c r="K54" s="13">
        <f>B54+D54+F54</f>
        <v>205</v>
      </c>
      <c r="L54" s="12">
        <f>C54+E54+G54</f>
        <v>90</v>
      </c>
      <c r="M54" s="8"/>
      <c r="O54" s="15" t="s">
        <v>7</v>
      </c>
      <c r="P54" s="11">
        <v>120</v>
      </c>
      <c r="Q54" s="12">
        <v>45</v>
      </c>
      <c r="R54" s="8">
        <f t="shared" si="13"/>
        <v>45</v>
      </c>
    </row>
    <row r="55" spans="1:18" ht="17" x14ac:dyDescent="0.2">
      <c r="A55" s="12" t="s">
        <v>8</v>
      </c>
      <c r="B55" s="12">
        <v>110</v>
      </c>
      <c r="C55" s="12">
        <v>35</v>
      </c>
      <c r="D55" s="12">
        <v>50</v>
      </c>
      <c r="E55" s="12">
        <v>15</v>
      </c>
      <c r="F55" s="12">
        <v>90</v>
      </c>
      <c r="G55" s="12">
        <v>25</v>
      </c>
      <c r="K55" s="13">
        <f>B55+D55+F55</f>
        <v>250</v>
      </c>
      <c r="L55" s="12">
        <f>C55+E55+G55</f>
        <v>75</v>
      </c>
      <c r="M55" s="8"/>
      <c r="O55" s="15" t="s">
        <v>8</v>
      </c>
      <c r="P55" s="11">
        <v>110</v>
      </c>
      <c r="Q55" s="12">
        <v>35</v>
      </c>
      <c r="R55" s="8">
        <f t="shared" si="13"/>
        <v>120</v>
      </c>
    </row>
    <row r="56" spans="1:18" ht="17" x14ac:dyDescent="0.2">
      <c r="A56" s="12" t="s">
        <v>9</v>
      </c>
      <c r="B56" s="12">
        <v>90</v>
      </c>
      <c r="C56" s="12">
        <v>150</v>
      </c>
      <c r="D56" s="12">
        <v>50</v>
      </c>
      <c r="E56" s="12">
        <v>110</v>
      </c>
      <c r="F56" s="12">
        <v>60</v>
      </c>
      <c r="G56" s="12">
        <v>80</v>
      </c>
      <c r="K56" s="13">
        <f>B56+D56+F56</f>
        <v>200</v>
      </c>
      <c r="L56" s="12">
        <f>C56+E56+G56</f>
        <v>340</v>
      </c>
      <c r="M56" s="8"/>
      <c r="O56" s="15" t="s">
        <v>9</v>
      </c>
      <c r="P56" s="11">
        <v>90</v>
      </c>
      <c r="Q56" s="12">
        <v>150</v>
      </c>
      <c r="R56" s="8">
        <f t="shared" si="13"/>
        <v>60</v>
      </c>
    </row>
    <row r="57" spans="1:18" ht="17" x14ac:dyDescent="0.2">
      <c r="A57" s="12" t="s">
        <v>10</v>
      </c>
      <c r="B57" s="12">
        <v>150</v>
      </c>
      <c r="C57" s="12">
        <v>160</v>
      </c>
      <c r="D57" s="12">
        <v>70</v>
      </c>
      <c r="E57" s="12">
        <v>90</v>
      </c>
      <c r="F57" s="12">
        <v>125</v>
      </c>
      <c r="G57" s="12">
        <v>130</v>
      </c>
      <c r="K57" s="13">
        <f>B57+D57+F57</f>
        <v>345</v>
      </c>
      <c r="L57" s="12">
        <f>C57+E57+G57</f>
        <v>380</v>
      </c>
      <c r="M57" s="8"/>
      <c r="O57" s="15" t="s">
        <v>10</v>
      </c>
      <c r="P57" s="11">
        <v>150</v>
      </c>
      <c r="Q57" s="12">
        <v>160</v>
      </c>
      <c r="R57" s="8">
        <f t="shared" si="13"/>
        <v>50</v>
      </c>
    </row>
    <row r="58" spans="1:18" ht="17" x14ac:dyDescent="0.2">
      <c r="A58" s="12" t="s">
        <v>11</v>
      </c>
      <c r="B58" s="12">
        <v>55</v>
      </c>
      <c r="C58" s="12">
        <v>35</v>
      </c>
      <c r="D58" s="12">
        <v>40</v>
      </c>
      <c r="E58" s="12">
        <v>20</v>
      </c>
      <c r="F58" s="12">
        <v>35</v>
      </c>
      <c r="G58" s="12">
        <v>25</v>
      </c>
      <c r="K58" s="13">
        <f>B58+D58+F58</f>
        <v>130</v>
      </c>
      <c r="L58" s="12">
        <f>C58+E58+G58</f>
        <v>80</v>
      </c>
      <c r="M58" s="8"/>
      <c r="O58" s="15" t="s">
        <v>11</v>
      </c>
      <c r="P58" s="11">
        <v>55</v>
      </c>
      <c r="Q58" s="12">
        <v>35</v>
      </c>
      <c r="R58" s="8">
        <f t="shared" si="13"/>
        <v>70</v>
      </c>
    </row>
    <row r="59" spans="1:18" ht="18" thickBot="1" x14ac:dyDescent="0.25">
      <c r="A59" s="12" t="s">
        <v>12</v>
      </c>
      <c r="B59" s="12">
        <v>45</v>
      </c>
      <c r="C59" s="12">
        <v>20</v>
      </c>
      <c r="D59" s="12">
        <v>20</v>
      </c>
      <c r="E59" s="12">
        <v>10</v>
      </c>
      <c r="F59" s="12">
        <v>30</v>
      </c>
      <c r="G59" s="12">
        <v>15</v>
      </c>
      <c r="K59" s="20">
        <f>B59+D59+F59</f>
        <v>95</v>
      </c>
      <c r="L59" s="18">
        <f>C59+E59+G59</f>
        <v>45</v>
      </c>
      <c r="M59" s="19"/>
      <c r="O59" s="16" t="s">
        <v>12</v>
      </c>
      <c r="P59" s="17">
        <v>45</v>
      </c>
      <c r="Q59" s="18">
        <v>20</v>
      </c>
      <c r="R59" s="19">
        <f t="shared" si="13"/>
        <v>95</v>
      </c>
    </row>
    <row r="60" spans="1:18" ht="18" thickTop="1" thickBot="1" x14ac:dyDescent="0.25">
      <c r="O60" s="48"/>
      <c r="P60" s="48"/>
      <c r="Q60" s="48"/>
      <c r="R60" s="48"/>
    </row>
    <row r="61" spans="1:18" ht="17" thickTop="1" x14ac:dyDescent="0.2">
      <c r="O61" s="21" t="s">
        <v>0</v>
      </c>
      <c r="P61" s="5" t="s">
        <v>15</v>
      </c>
      <c r="Q61" s="6"/>
      <c r="R61" s="7"/>
    </row>
    <row r="62" spans="1:18" x14ac:dyDescent="0.2">
      <c r="O62" s="22"/>
      <c r="P62" s="31" t="s">
        <v>18</v>
      </c>
      <c r="Q62" s="29"/>
      <c r="R62" s="30">
        <v>15</v>
      </c>
    </row>
    <row r="63" spans="1:18" ht="17" x14ac:dyDescent="0.2">
      <c r="E63" s="12" t="s">
        <v>52</v>
      </c>
      <c r="F63" s="12">
        <v>16</v>
      </c>
      <c r="O63" s="23"/>
      <c r="P63" s="27" t="s">
        <v>13</v>
      </c>
      <c r="Q63" s="25" t="s">
        <v>14</v>
      </c>
      <c r="R63" s="26" t="s">
        <v>20</v>
      </c>
    </row>
    <row r="64" spans="1:18" ht="17" x14ac:dyDescent="0.2">
      <c r="E64" s="12" t="s">
        <v>53</v>
      </c>
      <c r="F64" s="12">
        <v>20</v>
      </c>
      <c r="O64" s="14" t="s">
        <v>1</v>
      </c>
      <c r="P64" s="13">
        <v>50</v>
      </c>
      <c r="Q64" s="12">
        <v>35</v>
      </c>
      <c r="R64" s="8">
        <f>R62+P64-Q64</f>
        <v>30</v>
      </c>
    </row>
    <row r="65" spans="5:18" ht="17" x14ac:dyDescent="0.2">
      <c r="E65" s="12" t="s">
        <v>23</v>
      </c>
      <c r="F65" s="12">
        <v>15</v>
      </c>
      <c r="O65" s="15" t="s">
        <v>2</v>
      </c>
      <c r="P65" s="13">
        <v>30</v>
      </c>
      <c r="Q65" s="12">
        <v>40</v>
      </c>
      <c r="R65" s="8">
        <f>R64+P65-Q65</f>
        <v>20</v>
      </c>
    </row>
    <row r="66" spans="5:18" ht="17" x14ac:dyDescent="0.2">
      <c r="E66" s="12" t="s">
        <v>54</v>
      </c>
      <c r="F66" s="12">
        <v>15</v>
      </c>
      <c r="O66" s="15" t="s">
        <v>3</v>
      </c>
      <c r="P66" s="13">
        <v>15</v>
      </c>
      <c r="Q66" s="12">
        <v>50</v>
      </c>
      <c r="R66" s="8">
        <f t="shared" ref="R66:R74" si="14">R65+P66-Q66</f>
        <v>-15</v>
      </c>
    </row>
    <row r="67" spans="5:18" ht="17" x14ac:dyDescent="0.2">
      <c r="O67" s="15" t="s">
        <v>4</v>
      </c>
      <c r="P67" s="13">
        <v>30</v>
      </c>
      <c r="Q67" s="12">
        <v>30</v>
      </c>
      <c r="R67" s="8">
        <f t="shared" si="14"/>
        <v>-15</v>
      </c>
    </row>
    <row r="68" spans="5:18" ht="17" x14ac:dyDescent="0.2">
      <c r="O68" s="15" t="s">
        <v>5</v>
      </c>
      <c r="P68" s="13">
        <v>45</v>
      </c>
      <c r="Q68" s="12">
        <v>30</v>
      </c>
      <c r="R68" s="8">
        <f t="shared" si="14"/>
        <v>0</v>
      </c>
    </row>
    <row r="69" spans="5:18" ht="17" x14ac:dyDescent="0.2">
      <c r="E69" s="12" t="s">
        <v>52</v>
      </c>
      <c r="F69" s="12">
        <v>16</v>
      </c>
      <c r="O69" s="15" t="s">
        <v>6</v>
      </c>
      <c r="P69" s="13">
        <v>20</v>
      </c>
      <c r="Q69" s="12">
        <v>20</v>
      </c>
      <c r="R69" s="8">
        <f t="shared" si="14"/>
        <v>0</v>
      </c>
    </row>
    <row r="70" spans="5:18" ht="17" x14ac:dyDescent="0.2">
      <c r="E70" s="12" t="s">
        <v>55</v>
      </c>
      <c r="F70" s="12">
        <v>16</v>
      </c>
      <c r="O70" s="15" t="s">
        <v>7</v>
      </c>
      <c r="P70" s="13">
        <v>50</v>
      </c>
      <c r="Q70" s="12">
        <v>25</v>
      </c>
      <c r="R70" s="8">
        <f t="shared" si="14"/>
        <v>25</v>
      </c>
    </row>
    <row r="71" spans="5:18" ht="17" x14ac:dyDescent="0.2">
      <c r="E71" s="12" t="s">
        <v>56</v>
      </c>
      <c r="F71" s="12">
        <v>42</v>
      </c>
      <c r="O71" s="15" t="s">
        <v>8</v>
      </c>
      <c r="P71" s="13">
        <v>50</v>
      </c>
      <c r="Q71" s="12">
        <v>15</v>
      </c>
      <c r="R71" s="8">
        <f t="shared" si="14"/>
        <v>60</v>
      </c>
    </row>
    <row r="72" spans="5:18" ht="17" x14ac:dyDescent="0.2">
      <c r="O72" s="15" t="s">
        <v>9</v>
      </c>
      <c r="P72" s="13">
        <v>50</v>
      </c>
      <c r="Q72" s="12">
        <v>110</v>
      </c>
      <c r="R72" s="8">
        <f t="shared" si="14"/>
        <v>0</v>
      </c>
    </row>
    <row r="73" spans="5:18" ht="17" x14ac:dyDescent="0.2">
      <c r="O73" s="15" t="s">
        <v>10</v>
      </c>
      <c r="P73" s="13">
        <v>70</v>
      </c>
      <c r="Q73" s="12">
        <v>90</v>
      </c>
      <c r="R73" s="8">
        <f t="shared" si="14"/>
        <v>-20</v>
      </c>
    </row>
    <row r="74" spans="5:18" ht="17" x14ac:dyDescent="0.2">
      <c r="O74" s="15" t="s">
        <v>11</v>
      </c>
      <c r="P74" s="13">
        <v>40</v>
      </c>
      <c r="Q74" s="12">
        <v>20</v>
      </c>
      <c r="R74" s="8">
        <f t="shared" si="14"/>
        <v>0</v>
      </c>
    </row>
    <row r="75" spans="5:18" ht="18" thickBot="1" x14ac:dyDescent="0.25">
      <c r="O75" s="16" t="s">
        <v>12</v>
      </c>
      <c r="P75" s="20">
        <v>20</v>
      </c>
      <c r="Q75" s="18">
        <v>10</v>
      </c>
      <c r="R75" s="19">
        <f>R74+P75-Q75</f>
        <v>10</v>
      </c>
    </row>
    <row r="76" spans="5:18" ht="18" thickTop="1" thickBot="1" x14ac:dyDescent="0.25">
      <c r="O76" s="48"/>
      <c r="P76" s="48"/>
      <c r="Q76" s="48"/>
      <c r="R76" s="48"/>
    </row>
    <row r="77" spans="5:18" ht="17" thickTop="1" x14ac:dyDescent="0.2">
      <c r="O77" s="21" t="s">
        <v>0</v>
      </c>
      <c r="P77" s="5" t="s">
        <v>16</v>
      </c>
      <c r="Q77" s="6"/>
      <c r="R77" s="7"/>
    </row>
    <row r="78" spans="5:18" x14ac:dyDescent="0.2">
      <c r="O78" s="22"/>
      <c r="P78" s="31" t="s">
        <v>19</v>
      </c>
      <c r="Q78" s="29"/>
      <c r="R78" s="30">
        <v>15</v>
      </c>
    </row>
    <row r="79" spans="5:18" ht="17" x14ac:dyDescent="0.2">
      <c r="O79" s="23"/>
      <c r="P79" s="27" t="s">
        <v>13</v>
      </c>
      <c r="Q79" s="25" t="s">
        <v>14</v>
      </c>
      <c r="R79" s="26" t="s">
        <v>20</v>
      </c>
    </row>
    <row r="80" spans="5:18" ht="17" x14ac:dyDescent="0.2">
      <c r="O80" s="14" t="s">
        <v>1</v>
      </c>
      <c r="P80" s="13">
        <v>80</v>
      </c>
      <c r="Q80" s="12">
        <v>65</v>
      </c>
      <c r="R80" s="8">
        <f>R78+P80-Q80</f>
        <v>30</v>
      </c>
    </row>
    <row r="81" spans="15:18" ht="17" x14ac:dyDescent="0.2">
      <c r="O81" s="15" t="s">
        <v>2</v>
      </c>
      <c r="P81" s="13">
        <v>70</v>
      </c>
      <c r="Q81" s="12">
        <v>65</v>
      </c>
      <c r="R81" s="8">
        <f>R80+P81-Q81</f>
        <v>35</v>
      </c>
    </row>
    <row r="82" spans="15:18" ht="17" x14ac:dyDescent="0.2">
      <c r="O82" s="15" t="s">
        <v>3</v>
      </c>
      <c r="P82" s="13">
        <v>50</v>
      </c>
      <c r="Q82" s="12">
        <v>145</v>
      </c>
      <c r="R82" s="8">
        <f t="shared" ref="R82" si="15">R81+P82-Q82</f>
        <v>-60</v>
      </c>
    </row>
    <row r="83" spans="15:18" ht="17" x14ac:dyDescent="0.2">
      <c r="O83" s="15" t="s">
        <v>4</v>
      </c>
      <c r="P83" s="13">
        <v>60</v>
      </c>
      <c r="Q83" s="12">
        <v>20</v>
      </c>
      <c r="R83" s="8">
        <f>R82+P83-Q83</f>
        <v>-20</v>
      </c>
    </row>
    <row r="84" spans="15:18" ht="17" x14ac:dyDescent="0.2">
      <c r="O84" s="15" t="s">
        <v>5</v>
      </c>
      <c r="P84" s="13">
        <v>70</v>
      </c>
      <c r="Q84" s="12">
        <v>35</v>
      </c>
      <c r="R84" s="8">
        <f t="shared" ref="R84:R91" si="16">R83+P84-Q84</f>
        <v>15</v>
      </c>
    </row>
    <row r="85" spans="15:18" ht="17" x14ac:dyDescent="0.2">
      <c r="O85" s="15" t="s">
        <v>6</v>
      </c>
      <c r="P85" s="13">
        <v>50</v>
      </c>
      <c r="Q85" s="12">
        <v>20</v>
      </c>
      <c r="R85" s="8">
        <f t="shared" si="16"/>
        <v>45</v>
      </c>
    </row>
    <row r="86" spans="15:18" ht="17" x14ac:dyDescent="0.2">
      <c r="O86" s="15" t="s">
        <v>7</v>
      </c>
      <c r="P86" s="13">
        <v>35</v>
      </c>
      <c r="Q86" s="12">
        <v>20</v>
      </c>
      <c r="R86" s="8">
        <f t="shared" si="16"/>
        <v>60</v>
      </c>
    </row>
    <row r="87" spans="15:18" ht="17" x14ac:dyDescent="0.2">
      <c r="O87" s="15" t="s">
        <v>8</v>
      </c>
      <c r="P87" s="13">
        <v>90</v>
      </c>
      <c r="Q87" s="12">
        <v>25</v>
      </c>
      <c r="R87" s="8">
        <f t="shared" si="16"/>
        <v>125</v>
      </c>
    </row>
    <row r="88" spans="15:18" ht="17" x14ac:dyDescent="0.2">
      <c r="O88" s="15" t="s">
        <v>9</v>
      </c>
      <c r="P88" s="13">
        <v>60</v>
      </c>
      <c r="Q88" s="12">
        <v>80</v>
      </c>
      <c r="R88" s="8">
        <f t="shared" si="16"/>
        <v>105</v>
      </c>
    </row>
    <row r="89" spans="15:18" ht="17" x14ac:dyDescent="0.2">
      <c r="O89" s="15" t="s">
        <v>10</v>
      </c>
      <c r="P89" s="13">
        <v>125</v>
      </c>
      <c r="Q89" s="12">
        <v>130</v>
      </c>
      <c r="R89" s="8">
        <f t="shared" si="16"/>
        <v>100</v>
      </c>
    </row>
    <row r="90" spans="15:18" ht="17" x14ac:dyDescent="0.2">
      <c r="O90" s="15" t="s">
        <v>11</v>
      </c>
      <c r="P90" s="13">
        <v>35</v>
      </c>
      <c r="Q90" s="12">
        <v>25</v>
      </c>
      <c r="R90" s="8">
        <f t="shared" si="16"/>
        <v>110</v>
      </c>
    </row>
    <row r="91" spans="15:18" ht="18" thickBot="1" x14ac:dyDescent="0.25">
      <c r="O91" s="16" t="s">
        <v>12</v>
      </c>
      <c r="P91" s="20">
        <v>30</v>
      </c>
      <c r="Q91" s="18">
        <v>15</v>
      </c>
      <c r="R91" s="19">
        <f t="shared" si="16"/>
        <v>125</v>
      </c>
    </row>
    <row r="92" spans="15:18" ht="18" thickTop="1" thickBot="1" x14ac:dyDescent="0.25">
      <c r="O92" s="48"/>
    </row>
    <row r="93" spans="15:18" ht="17" thickTop="1" x14ac:dyDescent="0.2">
      <c r="O93" s="21" t="s">
        <v>0</v>
      </c>
      <c r="P93" s="33" t="s">
        <v>22</v>
      </c>
      <c r="Q93" s="34"/>
      <c r="R93" s="35"/>
    </row>
    <row r="94" spans="15:18" x14ac:dyDescent="0.2">
      <c r="O94" s="22"/>
      <c r="P94" s="9" t="s">
        <v>24</v>
      </c>
      <c r="Q94" s="10"/>
      <c r="R94" s="8">
        <f>O94+O78+O62</f>
        <v>0</v>
      </c>
    </row>
    <row r="95" spans="15:18" ht="17" x14ac:dyDescent="0.2">
      <c r="O95" s="23"/>
      <c r="P95" s="27" t="s">
        <v>13</v>
      </c>
      <c r="Q95" s="25" t="s">
        <v>14</v>
      </c>
      <c r="R95" s="26" t="s">
        <v>20</v>
      </c>
    </row>
    <row r="96" spans="15:18" ht="17" x14ac:dyDescent="0.2">
      <c r="O96" s="14" t="s">
        <v>1</v>
      </c>
      <c r="P96" s="13">
        <f>M64+M80+M96</f>
        <v>0</v>
      </c>
      <c r="Q96" s="12">
        <f>N64+N80+N96</f>
        <v>0</v>
      </c>
      <c r="R96" s="8">
        <f>R48+R64+R80</f>
        <v>100</v>
      </c>
    </row>
    <row r="97" spans="15:18" ht="17" x14ac:dyDescent="0.2">
      <c r="O97" s="15" t="s">
        <v>2</v>
      </c>
      <c r="P97" s="13">
        <f>M65+M81+M97</f>
        <v>0</v>
      </c>
      <c r="Q97" s="12">
        <f>N65+N81+N97</f>
        <v>0</v>
      </c>
      <c r="R97" s="8">
        <f t="shared" ref="R97:R107" si="17">R49+R65+R81</f>
        <v>50</v>
      </c>
    </row>
    <row r="98" spans="15:18" ht="17" x14ac:dyDescent="0.2">
      <c r="O98" s="15" t="s">
        <v>3</v>
      </c>
      <c r="P98" s="13">
        <f>M66+M82+M98</f>
        <v>0</v>
      </c>
      <c r="Q98" s="12">
        <f>N66+N82+N98</f>
        <v>0</v>
      </c>
      <c r="R98" s="8">
        <f t="shared" si="17"/>
        <v>-150</v>
      </c>
    </row>
    <row r="99" spans="15:18" ht="17" x14ac:dyDescent="0.2">
      <c r="O99" s="15" t="s">
        <v>4</v>
      </c>
      <c r="P99" s="13">
        <f>M67+M83+M99</f>
        <v>0</v>
      </c>
      <c r="Q99" s="12">
        <f>N67+N83+N99</f>
        <v>0</v>
      </c>
      <c r="R99" s="8">
        <f t="shared" si="17"/>
        <v>-90</v>
      </c>
    </row>
    <row r="100" spans="15:18" ht="17" x14ac:dyDescent="0.2">
      <c r="O100" s="15" t="s">
        <v>5</v>
      </c>
      <c r="P100" s="13">
        <f>M68+M84+M100</f>
        <v>0</v>
      </c>
      <c r="Q100" s="12">
        <f>N68+N84+N100</f>
        <v>0</v>
      </c>
      <c r="R100" s="8">
        <f t="shared" si="17"/>
        <v>-35</v>
      </c>
    </row>
    <row r="101" spans="15:18" ht="17" x14ac:dyDescent="0.2">
      <c r="O101" s="15" t="s">
        <v>6</v>
      </c>
      <c r="P101" s="13">
        <f>M69+M85+M101</f>
        <v>0</v>
      </c>
      <c r="Q101" s="12">
        <f>N69+N85+N101</f>
        <v>0</v>
      </c>
      <c r="R101" s="8">
        <f t="shared" si="17"/>
        <v>15</v>
      </c>
    </row>
    <row r="102" spans="15:18" ht="17" x14ac:dyDescent="0.2">
      <c r="O102" s="15" t="s">
        <v>7</v>
      </c>
      <c r="P102" s="13">
        <f>M70+M86+M102</f>
        <v>0</v>
      </c>
      <c r="Q102" s="12">
        <f>N70+N86+N102</f>
        <v>0</v>
      </c>
      <c r="R102" s="8">
        <f t="shared" si="17"/>
        <v>130</v>
      </c>
    </row>
    <row r="103" spans="15:18" ht="17" x14ac:dyDescent="0.2">
      <c r="O103" s="15" t="s">
        <v>8</v>
      </c>
      <c r="P103" s="13">
        <f>M71+M87+M103</f>
        <v>0</v>
      </c>
      <c r="Q103" s="12">
        <f>N71+N87+N103</f>
        <v>0</v>
      </c>
      <c r="R103" s="8">
        <f t="shared" si="17"/>
        <v>305</v>
      </c>
    </row>
    <row r="104" spans="15:18" ht="17" x14ac:dyDescent="0.2">
      <c r="O104" s="15" t="s">
        <v>9</v>
      </c>
      <c r="P104" s="13">
        <f>M72+M88+M104</f>
        <v>0</v>
      </c>
      <c r="Q104" s="12">
        <f>N72+N88+N104</f>
        <v>0</v>
      </c>
      <c r="R104" s="8">
        <f t="shared" si="17"/>
        <v>165</v>
      </c>
    </row>
    <row r="105" spans="15:18" ht="17" x14ac:dyDescent="0.2">
      <c r="O105" s="15" t="s">
        <v>10</v>
      </c>
      <c r="P105" s="13">
        <f>M73+M89+M105</f>
        <v>0</v>
      </c>
      <c r="Q105" s="12">
        <f>N73+N89+N105</f>
        <v>0</v>
      </c>
      <c r="R105" s="8">
        <f t="shared" si="17"/>
        <v>130</v>
      </c>
    </row>
    <row r="106" spans="15:18" ht="17" x14ac:dyDescent="0.2">
      <c r="O106" s="15" t="s">
        <v>11</v>
      </c>
      <c r="P106" s="13">
        <f>M74+M90+M106</f>
        <v>0</v>
      </c>
      <c r="Q106" s="12">
        <f>N74+N90+N106</f>
        <v>0</v>
      </c>
      <c r="R106" s="8">
        <f t="shared" si="17"/>
        <v>180</v>
      </c>
    </row>
    <row r="107" spans="15:18" ht="18" thickBot="1" x14ac:dyDescent="0.25">
      <c r="O107" s="16" t="s">
        <v>12</v>
      </c>
      <c r="P107" s="20">
        <f>M75+M91+M107</f>
        <v>0</v>
      </c>
      <c r="Q107" s="18">
        <f>N75+N91+N107</f>
        <v>0</v>
      </c>
      <c r="R107" s="19">
        <f t="shared" si="17"/>
        <v>230</v>
      </c>
    </row>
    <row r="108" spans="15:18" ht="17" thickTop="1" x14ac:dyDescent="0.2">
      <c r="R108" s="32"/>
    </row>
  </sheetData>
  <mergeCells count="42">
    <mergeCell ref="O61:O63"/>
    <mergeCell ref="O77:O79"/>
    <mergeCell ref="P93:R93"/>
    <mergeCell ref="P94:Q94"/>
    <mergeCell ref="O93:O95"/>
    <mergeCell ref="P61:R61"/>
    <mergeCell ref="P77:R77"/>
    <mergeCell ref="P46:Q46"/>
    <mergeCell ref="P62:Q62"/>
    <mergeCell ref="P78:Q78"/>
    <mergeCell ref="D45:E45"/>
    <mergeCell ref="D46:E46"/>
    <mergeCell ref="F45:G45"/>
    <mergeCell ref="O45:O47"/>
    <mergeCell ref="P45:R45"/>
    <mergeCell ref="A45:A47"/>
    <mergeCell ref="K45:M45"/>
    <mergeCell ref="B46:C46"/>
    <mergeCell ref="K46:L46"/>
    <mergeCell ref="B45:C45"/>
    <mergeCell ref="Z1:Z3"/>
    <mergeCell ref="N1:N3"/>
    <mergeCell ref="O1:O3"/>
    <mergeCell ref="P1:P3"/>
    <mergeCell ref="Q1:Q3"/>
    <mergeCell ref="R1:R3"/>
    <mergeCell ref="S1:S3"/>
    <mergeCell ref="T1:T3"/>
    <mergeCell ref="U1:U3"/>
    <mergeCell ref="K1:M1"/>
    <mergeCell ref="K2:L2"/>
    <mergeCell ref="V1:V3"/>
    <mergeCell ref="W1:W3"/>
    <mergeCell ref="X1:X3"/>
    <mergeCell ref="Y1:Y3"/>
    <mergeCell ref="A1:A3"/>
    <mergeCell ref="B1:D1"/>
    <mergeCell ref="B2:C2"/>
    <mergeCell ref="E1:G1"/>
    <mergeCell ref="H1:J1"/>
    <mergeCell ref="H2:I2"/>
    <mergeCell ref="E2:F2"/>
  </mergeCells>
  <phoneticPr fontId="5" type="noConversion"/>
  <conditionalFormatting sqref="D4:D15">
    <cfRule type="cellIs" dxfId="10" priority="13" operator="lessThan">
      <formula>0</formula>
    </cfRule>
  </conditionalFormatting>
  <conditionalFormatting sqref="G4:G15">
    <cfRule type="cellIs" dxfId="9" priority="12" operator="lessThan">
      <formula>0</formula>
    </cfRule>
  </conditionalFormatting>
  <conditionalFormatting sqref="J4:J15">
    <cfRule type="cellIs" dxfId="8" priority="11" operator="lessThan">
      <formula>0</formula>
    </cfRule>
  </conditionalFormatting>
  <conditionalFormatting sqref="M4:M15">
    <cfRule type="cellIs" dxfId="7" priority="10" operator="lessThan">
      <formula>0</formula>
    </cfRule>
  </conditionalFormatting>
  <conditionalFormatting sqref="M48:M59">
    <cfRule type="cellIs" dxfId="5" priority="6" operator="lessThan">
      <formula>0</formula>
    </cfRule>
  </conditionalFormatting>
  <conditionalFormatting sqref="R48:R59">
    <cfRule type="cellIs" dxfId="4" priority="5" operator="lessThan">
      <formula>0</formula>
    </cfRule>
  </conditionalFormatting>
  <conditionalFormatting sqref="R64:R75">
    <cfRule type="cellIs" dxfId="3" priority="4" operator="lessThan">
      <formula>0</formula>
    </cfRule>
  </conditionalFormatting>
  <conditionalFormatting sqref="R80:R91">
    <cfRule type="cellIs" dxfId="2" priority="3" operator="lessThan">
      <formula>0</formula>
    </cfRule>
  </conditionalFormatting>
  <conditionalFormatting sqref="R96:R10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285DF6-7B86-2146-B5AD-4ACD6181D9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Медведева</dc:creator>
  <cp:lastModifiedBy>Юлия Медведева</cp:lastModifiedBy>
  <dcterms:created xsi:type="dcterms:W3CDTF">2023-11-09T15:59:37Z</dcterms:created>
  <dcterms:modified xsi:type="dcterms:W3CDTF">2023-11-10T08:22:00Z</dcterms:modified>
</cp:coreProperties>
</file>